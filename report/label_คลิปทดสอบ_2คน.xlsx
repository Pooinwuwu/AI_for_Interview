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สรุปผล" sheetId="2" state="visible" r:id="rId2"/>
    <sheet xmlns:r="http://schemas.openxmlformats.org/officeDocument/2006/relationships" name="รายการ" sheetId="3" state="visible" r:id="rId3"/>
    <sheet xmlns:r="http://schemas.openxmlformats.org/officeDocument/2006/relationships" name="แผนคลิป" sheetId="4" state="visible" r:id="rId4"/>
    <sheet xmlns:r="http://schemas.openxmlformats.org/officeDocument/2006/relationships" name="เฉลย" sheetId="5" state="visible" r:id="rId5"/>
    <sheet xmlns:r="http://schemas.openxmlformats.org/officeDocument/2006/relationships" name="เฉลยคนที่2" sheetId="6" state="visible" r:id="rId6"/>
    <sheet xmlns:r="http://schemas.openxmlformats.org/officeDocument/2006/relationships" name="ระบบเตือน" sheetId="7" state="visible" r:id="rId7"/>
    <sheet xmlns:r="http://schemas.openxmlformats.org/officeDocument/2006/relationships" name="ตรวจคำแนะนำ" sheetId="8" state="visible" r:id="rId8"/>
    <sheet xmlns:r="http://schemas.openxmlformats.org/officeDocument/2006/relationships" name="ปิดชื่อ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Tahoma"/>
      <b val="1"/>
      <sz val="10"/>
    </font>
    <font>
      <name val="Tahoma"/>
      <sz val="10"/>
    </font>
    <font>
      <name val="Tahoma"/>
      <b val="1"/>
      <sz val="12"/>
    </font>
    <font>
      <name val="Tahoma"/>
      <b val="1"/>
      <sz val="11"/>
    </font>
    <font>
      <name val="Tahoma"/>
      <b val="1"/>
      <color rgb="00FFFFFF"/>
      <sz val="10"/>
    </font>
    <font>
      <name val="Tahoma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1F4E8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0" borderId="1" pivotButton="0" quotePrefix="0" xfId="0"/>
    <xf numFmtId="0" fontId="2" fillId="3" borderId="1" pivotButton="0" quotePrefix="0" xfId="0"/>
    <xf numFmtId="0" fontId="2" fillId="0" borderId="1" pivotButton="0" quotePrefix="0" xfId="0"/>
    <xf numFmtId="164" fontId="2" fillId="3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vertical="center" wrapText="1"/>
    </xf>
    <xf numFmtId="0" fontId="2" fillId="2" borderId="1" pivotButton="0" quotePrefix="0" xfId="0"/>
    <xf numFmtId="0" fontId="2" fillId="0" borderId="1" applyAlignment="1" pivotButton="0" quotePrefix="0" xfId="0">
      <alignment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ตาราง label คลิปทดสอบเว็บแอป</t>
        </is>
      </c>
    </row>
    <row r="2">
      <c r="A2" s="2" t="inlineStr"/>
    </row>
    <row r="3">
      <c r="A3" s="3" t="inlineStr">
        <is>
          <t>ลำดับงาน</t>
        </is>
      </c>
    </row>
    <row r="4">
      <c r="A4" s="2" t="inlineStr">
        <is>
          <t>1. แผนคลิป: ผู้อัด 2 คน คนละ 14 คลิป รวม 28 คลิป (P1 = ผู้วิจัย, P2 = เพื่อน) ตั้งชื่อไฟล์ตามรหัส เช่น P1_C01.mp4 ติ๊ก 'อัดแล้ว' เมื่อเสร็จ</t>
        </is>
      </c>
    </row>
    <row r="5">
      <c r="A5" s="2" t="inlineStr">
        <is>
          <t>2. เฉลย: ผู้วิจัยดูทุกคลิปแล้วจดปัญหาทุกจุดพร้อมเวลา ก่อนรันแอป (ห้ามดูผลแอปก่อน)</t>
        </is>
      </c>
    </row>
    <row r="6">
      <c r="A6" s="2" t="inlineStr">
        <is>
          <t>2b. เฉลยคนที่2: อีกคนจดเฉลยของทั้ง 28 คลิปแยกกัน ห้ามดูชีตเฉลยของอีกคน ระบบจะเทียบความตรงกันให้เอง</t>
        </is>
      </c>
    </row>
    <row r="7">
      <c r="A7" s="2" t="inlineStr">
        <is>
          <t>3. รันแอปคลิปละ 2 รอบ: โค้ช 'Gemini เท่านั้น' และ 'โค้ชในเครื่อง' ใช้คลิปไฟล์เดียวกัน</t>
        </is>
      </c>
    </row>
    <row r="8">
      <c r="A8" s="2" t="inlineStr">
        <is>
          <t>4. ระบบเตือน: จดทุกข้อในส่วน 'เริ่มแก้ตรงนี้ก่อน' ของรายงาน แล้วบอกว่าตรงกับเฉลยไหม</t>
        </is>
      </c>
    </row>
    <row r="9">
      <c r="A9" s="2" t="inlineStr">
        <is>
          <t xml:space="preserve">   กลับไปที่ชีตเฉลย กรอกว่าปัญหาแต่ละข้อถูกจับได้ไหม (แยก Gemini / ในเครื่อง) และเวลาที่ระบบบอก</t>
        </is>
      </c>
    </row>
    <row r="10">
      <c r="A10" s="2" t="inlineStr">
        <is>
          <t>5. ตรวจคำแนะนำ: ทุกข้อในรายงาน (ทั้งจุดเด่นและควรแก้) เปิดคลิปดูว่าจริงไหม</t>
        </is>
      </c>
    </row>
    <row r="11">
      <c r="A11" s="2" t="inlineStr">
        <is>
          <t>6. ปิดชื่อ: พิมพ์รายงานสองแบบเป็น A/B สลับกันแบบสุ่ม ให้เพื่อนเลือกโดยไม่บอกว่าแบบไหนมาจากโค้ชไหน</t>
        </is>
      </c>
    </row>
    <row r="12">
      <c r="A12" s="2" t="inlineStr">
        <is>
          <t>7. สรุปผล: คำนวณให้อัตโนมัติ ทั้งรวม แยกรายผู้อัด และความตรงกันของเฉลย 2 คน</t>
        </is>
      </c>
    </row>
    <row r="13">
      <c r="A13" s="2" t="inlineStr"/>
    </row>
    <row r="14">
      <c r="A14" s="3" t="inlineStr">
        <is>
          <t>สีของช่อง</t>
        </is>
      </c>
    </row>
    <row r="15">
      <c r="A15" s="4" t="inlineStr">
        <is>
          <t>เหลือง = ช่องที่คุณกรอก</t>
        </is>
      </c>
    </row>
    <row r="16">
      <c r="A16" s="5" t="inlineStr">
        <is>
          <t>เขียว = คำนวณอัตโนมัติ ห้ามแก้</t>
        </is>
      </c>
    </row>
    <row r="17">
      <c r="A17" s="6" t="inlineStr">
        <is>
          <t>เทา (แถวที่ 3) = ตัวอย่างวิธีกรอก ไม่นับในผล (คอลัมน์คลิป = 'ตัวอย่าง')</t>
        </is>
      </c>
    </row>
    <row r="18">
      <c r="A18" s="2" t="inlineStr"/>
    </row>
    <row r="19">
      <c r="A19" s="3" t="inlineStr">
        <is>
          <t>กติกาการนับว่า 'ตรง'</t>
        </is>
      </c>
    </row>
    <row r="20">
      <c r="A20" s="2" t="inlineStr">
        <is>
          <t>ประเภทปัญหาเดียวกัน และช่วงเวลาที่ระบบบอกซ้อนทับช่วงในเฉลย (คลาดเคลื่อนได้ ±2 วินาที)</t>
        </is>
      </c>
    </row>
    <row r="21">
      <c r="A21" s="2" t="inlineStr">
        <is>
          <t>ปัญหาแบบทั้งคลิป (เช่น คำตอบสั้น มือไม่อยู่ในเฟรม) ไม่ต้องใส่เวลา ให้นับตรงเมื่อประเภทตรง</t>
        </is>
      </c>
    </row>
    <row r="22">
      <c r="A22" s="2" t="inlineStr">
        <is>
          <t>คำฟุ่มเฟือยระบบไม่ได้วัด: ถ้าระบบพูดถึงคำฟุ่มเฟือย ให้นับเป็นเตือนผิด (ใช้ทดสอบว่าตัวตรวจกันได้ไหม)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สรุปผล (คำนวณอัตโนมัติ · แถวตัวอย่างไม่นับ)</t>
        </is>
      </c>
    </row>
    <row r="3">
      <c r="A3" s="3" t="inlineStr">
        <is>
          <t>ทดสอบ 1: จับปัญหาได้ถูกไหม</t>
        </is>
      </c>
    </row>
    <row r="4">
      <c r="A4" s="2" t="inlineStr"/>
      <c r="B4" s="7" t="inlineStr">
        <is>
          <t>Gemini</t>
        </is>
      </c>
      <c r="C4" s="7" t="inlineStr">
        <is>
          <t>ในเครื่อง</t>
        </is>
      </c>
      <c r="D4" s="7" t="inlineStr"/>
    </row>
    <row r="5">
      <c r="A5" s="2" t="inlineStr">
        <is>
          <t>จำนวนปัญหาในเฉลย</t>
        </is>
      </c>
      <c r="B5" s="8">
        <f>COUNTIFS(เฉลย!$A$4:$A$203,"&lt;&gt;",เฉลย!$C$4:$C$203,"&lt;&gt;")</f>
        <v/>
      </c>
      <c r="C5" s="8">
        <f>B5</f>
        <v/>
      </c>
      <c r="D5" s="9" t="inlineStr"/>
    </row>
    <row r="6">
      <c r="A6" s="2" t="inlineStr">
        <is>
          <t>Recall รวม (จับได้ ÷ ปัญหาจริง)</t>
        </is>
      </c>
      <c r="B6" s="10">
        <f>IF((B5)=0,"-",(COUNTIFS(เฉลย!$G$4:$G$203,"Y"))/(B5))</f>
        <v/>
      </c>
      <c r="C6" s="10">
        <f>IF((C5)=0,"-",(COUNTIFS(เฉลย!$I$4:$I$203,"Y"))/(C5))</f>
        <v/>
      </c>
      <c r="D6" s="11" t="inlineStr"/>
    </row>
    <row r="7">
      <c r="A7" s="2" t="inlineStr">
        <is>
          <t>Recall ภาษาไทย</t>
        </is>
      </c>
      <c r="B7" s="10">
        <f>IF((COUNTIFS(เฉลย!$B$4:$B$203,"ไทย",เฉลย!$C$4:$C$203,"&lt;&gt;"))=0,"-",(COUNTIFS(เฉลย!$G$4:$G$203,"Y",เฉลย!$B$4:$B$203,"ไทย"))/(COUNTIFS(เฉลย!$B$4:$B$203,"ไทย",เฉลย!$C$4:$C$203,"&lt;&gt;")))</f>
        <v/>
      </c>
      <c r="C7" s="10">
        <f>IF((COUNTIFS(เฉลย!$B$4:$B$203,"ไทย",เฉลย!$C$4:$C$203,"&lt;&gt;"))=0,"-",(COUNTIFS(เฉลย!$I$4:$I$203,"Y",เฉลย!$B$4:$B$203,"ไทย"))/(COUNTIFS(เฉลย!$B$4:$B$203,"ไทย",เฉลย!$C$4:$C$203,"&lt;&gt;")))</f>
        <v/>
      </c>
      <c r="D7" s="11" t="inlineStr"/>
    </row>
    <row r="8">
      <c r="A8" s="2" t="inlineStr">
        <is>
          <t>Recall ภาษาอังกฤษ</t>
        </is>
      </c>
      <c r="B8" s="10">
        <f>IF((COUNTIFS(เฉลย!$B$4:$B$203,"อังกฤษ",เฉลย!$C$4:$C$203,"&lt;&gt;"))=0,"-",(COUNTIFS(เฉลย!$G$4:$G$203,"Y",เฉลย!$B$4:$B$203,"อังกฤษ"))/(COUNTIFS(เฉลย!$B$4:$B$203,"อังกฤษ",เฉลย!$C$4:$C$203,"&lt;&gt;")))</f>
        <v/>
      </c>
      <c r="C8" s="10">
        <f>IF((COUNTIFS(เฉลย!$B$4:$B$203,"อังกฤษ",เฉลย!$C$4:$C$203,"&lt;&gt;"))=0,"-",(COUNTIFS(เฉลย!$I$4:$I$203,"Y",เฉลย!$B$4:$B$203,"อังกฤษ"))/(COUNTIFS(เฉลย!$B$4:$B$203,"อังกฤษ",เฉลย!$C$4:$C$203,"&lt;&gt;")))</f>
        <v/>
      </c>
      <c r="D8" s="11" t="inlineStr"/>
    </row>
    <row r="9">
      <c r="A9" s="2" t="inlineStr">
        <is>
          <t>จำนวนข้อที่ระบบเตือน</t>
        </is>
      </c>
      <c r="B9" s="8">
        <f>COUNTIFS(ระบบเตือน!$A$4:$A$203,"&lt;&gt;",ระบบเตือน!$C$4:$C$203,"Gemini")</f>
        <v/>
      </c>
      <c r="C9" s="8">
        <f>COUNTIFS(ระบบเตือน!$A$4:$A$203,"&lt;&gt;",ระบบเตือน!$C$4:$C$203,"ในเครื่อง")</f>
        <v/>
      </c>
      <c r="D9" s="9" t="inlineStr"/>
    </row>
    <row r="10">
      <c r="A10" s="2" t="inlineStr">
        <is>
          <t>Precision (เตือนถูก ÷ เตือนทั้งหมด)</t>
        </is>
      </c>
      <c r="B10" s="10">
        <f>IF((B9)=0,"-",(COUNTIFS(ระบบเตือน!$C$4:$C$203,"Gemini",ระบบเตือน!$H$4:$H$203,"Y"))/(B9))</f>
        <v/>
      </c>
      <c r="C10" s="10">
        <f>IF((C9)=0,"-",(COUNTIFS(ระบบเตือน!$C$4:$C$203,"ในเครื่อง",ระบบเตือน!$H$4:$H$203,"Y"))/(C9))</f>
        <v/>
      </c>
      <c r="D10" s="11" t="inlineStr"/>
    </row>
    <row r="11">
      <c r="A11" s="2" t="inlineStr">
        <is>
          <t>Precision ภาษาไทย</t>
        </is>
      </c>
      <c r="B11" s="10">
        <f>IF((COUNTIFS(ระบบเตือน!$C$4:$C$203,"Gemini",ระบบเตือน!$B$4:$B$203,"ไทย"))=0,"-",(COUNTIFS(ระบบเตือน!$C$4:$C$203,"Gemini",ระบบเตือน!$H$4:$H$203,"Y",ระบบเตือน!$B$4:$B$203,"ไทย"))/(COUNTIFS(ระบบเตือน!$C$4:$C$203,"Gemini",ระบบเตือน!$B$4:$B$203,"ไทย")))</f>
        <v/>
      </c>
      <c r="C11" s="10">
        <f>IF((COUNTIFS(ระบบเตือน!$C$4:$C$203,"ในเครื่อง",ระบบเตือน!$B$4:$B$203,"ไทย"))=0,"-",(COUNTIFS(ระบบเตือน!$C$4:$C$203,"ในเครื่อง",ระบบเตือน!$H$4:$H$203,"Y",ระบบเตือน!$B$4:$B$203,"ไทย"))/(COUNTIFS(ระบบเตือน!$C$4:$C$203,"ในเครื่อง",ระบบเตือน!$B$4:$B$203,"ไทย")))</f>
        <v/>
      </c>
      <c r="D11" s="11" t="inlineStr"/>
    </row>
    <row r="12">
      <c r="A12" s="2" t="inlineStr">
        <is>
          <t>Precision ภาษาอังกฤษ</t>
        </is>
      </c>
      <c r="B12" s="10">
        <f>IF((COUNTIFS(ระบบเตือน!$C$4:$C$203,"Gemini",ระบบเตือน!$B$4:$B$203,"อังกฤษ"))=0,"-",(COUNTIFS(ระบบเตือน!$C$4:$C$203,"Gemini",ระบบเตือน!$H$4:$H$203,"Y",ระบบเตือน!$B$4:$B$203,"อังกฤษ"))/(COUNTIFS(ระบบเตือน!$C$4:$C$203,"Gemini",ระบบเตือน!$B$4:$B$203,"อังกฤษ")))</f>
        <v/>
      </c>
      <c r="C12" s="10">
        <f>IF((COUNTIFS(ระบบเตือน!$C$4:$C$203,"ในเครื่อง",ระบบเตือน!$B$4:$B$203,"อังกฤษ"))=0,"-",(COUNTIFS(ระบบเตือน!$C$4:$C$203,"ในเครื่อง",ระบบเตือน!$H$4:$H$203,"Y",ระบบเตือน!$B$4:$B$203,"อังกฤษ"))/(COUNTIFS(ระบบเตือน!$C$4:$C$203,"ในเครื่อง",ระบบเตือน!$B$4:$B$203,"อังกฤษ")))</f>
        <v/>
      </c>
      <c r="D12" s="11" t="inlineStr"/>
    </row>
    <row r="13">
      <c r="A13" s="2" t="inlineStr">
        <is>
          <t>ความคลาดเคลื่อนของเวลาเฉลี่ย (วินาที)</t>
        </is>
      </c>
      <c r="B13" s="12">
        <f>IFERROR(AVERAGE(เฉลย!$K$4:$K$203),"-")</f>
        <v/>
      </c>
      <c r="C13" s="12">
        <f>IFERROR(AVERAGE(เฉลย!$L$4:$L$203),"-")</f>
        <v/>
      </c>
      <c r="D13" s="13" t="inlineStr"/>
    </row>
    <row r="14">
      <c r="A14" s="2" t="inlineStr"/>
    </row>
    <row r="15">
      <c r="A15" s="3" t="inlineStr">
        <is>
          <t>ทดสอบ 2: คำแนะนำพูดจริงไหม</t>
        </is>
      </c>
    </row>
    <row r="16">
      <c r="A16" s="2" t="inlineStr"/>
      <c r="B16" s="7" t="inlineStr">
        <is>
          <t>Gemini</t>
        </is>
      </c>
      <c r="C16" s="7" t="inlineStr">
        <is>
          <t>ในเครื่อง</t>
        </is>
      </c>
      <c r="D16" s="7" t="inlineStr"/>
    </row>
    <row r="17">
      <c r="A17" s="2" t="inlineStr">
        <is>
          <t>จำนวนคำแนะนำที่ตรวจได้</t>
        </is>
      </c>
      <c r="B17" s="8">
        <f>COUNTIFS(ตรวจคำแนะนำ!$B$4:$B$203,"Gemini",ตรวจคำแนะนำ!$F$4:$F$203,"จริง")+COUNTIFS(ตรวจคำแนะนำ!$B$4:$B$203,"Gemini",ตรวจคำแนะนำ!$F$4:$F$203,"ไม่จริง")</f>
        <v/>
      </c>
      <c r="C17" s="8">
        <f>COUNTIFS(ตรวจคำแนะนำ!$B$4:$B$203,"ในเครื่อง",ตรวจคำแนะนำ!$F$4:$F$203,"จริง")+COUNTIFS(ตรวจคำแนะนำ!$B$4:$B$203,"ในเครื่อง",ตรวจคำแนะนำ!$F$4:$F$203,"ไม่จริง")</f>
        <v/>
      </c>
      <c r="D17" s="9" t="inlineStr"/>
    </row>
    <row r="18">
      <c r="A18" s="2" t="inlineStr">
        <is>
          <t>% คำแนะนำที่จริง</t>
        </is>
      </c>
      <c r="B18" s="10">
        <f>IF((B17)=0,"-",(COUNTIFS(ตรวจคำแนะนำ!$B$4:$B$203,"Gemini",ตรวจคำแนะนำ!$F$4:$F$203,"จริง"))/(B17))</f>
        <v/>
      </c>
      <c r="C18" s="10">
        <f>IF((C17)=0,"-",(COUNTIFS(ตรวจคำแนะนำ!$B$4:$B$203,"ในเครื่อง",ตรวจคำแนะนำ!$F$4:$F$203,"จริง"))/(C17))</f>
        <v/>
      </c>
      <c r="D18" s="11" t="inlineStr"/>
    </row>
    <row r="19">
      <c r="A19" s="2" t="inlineStr">
        <is>
          <t>จำนวนข้อที่ตรวจไม่ได้</t>
        </is>
      </c>
      <c r="B19" s="8">
        <f>COUNTIFS(ตรวจคำแนะนำ!$B$4:$B$203,"Gemini",ตรวจคำแนะนำ!$F$4:$F$203,"ตรวจไม่ได้")</f>
        <v/>
      </c>
      <c r="C19" s="8">
        <f>COUNTIFS(ตรวจคำแนะนำ!$B$4:$B$203,"ในเครื่อง",ตรวจคำแนะนำ!$F$4:$F$203,"ตรวจไม่ได้")</f>
        <v/>
      </c>
      <c r="D19" s="9" t="inlineStr"/>
    </row>
    <row r="20">
      <c r="A20" s="2" t="inlineStr"/>
    </row>
    <row r="21">
      <c r="A21" s="3" t="inlineStr">
        <is>
          <t>ทดสอบ 3: คนชอบแบบไหน (ปิดชื่อ)</t>
        </is>
      </c>
    </row>
    <row r="22">
      <c r="A22" s="2" t="inlineStr"/>
      <c r="B22" s="7" t="inlineStr">
        <is>
          <t>Gemini</t>
        </is>
      </c>
      <c r="C22" s="7" t="inlineStr">
        <is>
          <t>ในเครื่อง</t>
        </is>
      </c>
      <c r="D22" s="7" t="inlineStr">
        <is>
          <t>เท่ากัน</t>
        </is>
      </c>
    </row>
    <row r="23">
      <c r="A23" s="2" t="inlineStr">
        <is>
          <t>จำนวนครั้งที่ถูกเลือก</t>
        </is>
      </c>
      <c r="B23" s="8">
        <f>COUNTIF(ปิดชื่อ!$E$4:$E$203,"Gemini")</f>
        <v/>
      </c>
      <c r="C23" s="8">
        <f>COUNTIF(ปิดชื่อ!$E$4:$E$203,"ในเครื่อง")</f>
        <v/>
      </c>
      <c r="D23" s="8">
        <f>COUNTIF(ปิดชื่อ!$E$4:$E$203,"เท่ากัน")</f>
        <v/>
      </c>
    </row>
    <row r="24">
      <c r="A24" s="2" t="inlineStr">
        <is>
          <t>สัดส่วน</t>
        </is>
      </c>
      <c r="B24" s="10">
        <f>IF((B23+C23+D23)=0,"-",(B23)/(B23+C23+D23))</f>
        <v/>
      </c>
      <c r="C24" s="10">
        <f>IF((B23+C23+D23)=0,"-",(C23)/(B23+C23+D23))</f>
        <v/>
      </c>
      <c r="D24" s="10">
        <f>IF((B23+C23+D23)=0,"-",(D23)/(B23+C23+D23))</f>
        <v/>
      </c>
    </row>
    <row r="26">
      <c r="A26" s="3" t="inlineStr">
        <is>
          <t>ทดสอบ 1 แยกรายผู้อัด</t>
        </is>
      </c>
    </row>
    <row r="27">
      <c r="A27" s="2" t="inlineStr"/>
      <c r="B27" s="7" t="inlineStr">
        <is>
          <t>Gemini</t>
        </is>
      </c>
      <c r="C27" s="7" t="inlineStr">
        <is>
          <t>ในเครื่อง</t>
        </is>
      </c>
      <c r="D27" s="7" t="inlineStr"/>
    </row>
    <row r="28">
      <c r="A28" s="2" t="inlineStr">
        <is>
          <t>Recall P1 (ผู้วิจัย)</t>
        </is>
      </c>
      <c r="B28" s="10">
        <f>IF((COUNTIFS(เฉลย!$A$4:$A$203,"P1_*",เฉลย!$C$4:$C$203,"&lt;&gt;"))=0,"-",(COUNTIFS(เฉลย!$G$4:$G$203,"Y",เฉลย!$A$4:$A$203,"P1_*"))/(COUNTIFS(เฉลย!$A$4:$A$203,"P1_*",เฉลย!$C$4:$C$203,"&lt;&gt;")))</f>
        <v/>
      </c>
      <c r="C28" s="10">
        <f>IF((COUNTIFS(เฉลย!$A$4:$A$203,"P1_*",เฉลย!$C$4:$C$203,"&lt;&gt;"))=0,"-",(COUNTIFS(เฉลย!$I$4:$I$203,"Y",เฉลย!$A$4:$A$203,"P1_*"))/(COUNTIFS(เฉลย!$A$4:$A$203,"P1_*",เฉลย!$C$4:$C$203,"&lt;&gt;")))</f>
        <v/>
      </c>
      <c r="D28" s="11" t="inlineStr"/>
    </row>
    <row r="29">
      <c r="A29" s="2" t="inlineStr">
        <is>
          <t>Precision P1 (ผู้วิจัย)</t>
        </is>
      </c>
      <c r="B29" s="10">
        <f>IF((COUNTIFS(ระบบเตือน!$C$4:$C$203,"Gemini",ระบบเตือน!$A$4:$A$203,"P1_*"))=0,"-",(COUNTIFS(ระบบเตือน!$C$4:$C$203,"Gemini",ระบบเตือน!$H$4:$H$203,"Y",ระบบเตือน!$A$4:$A$203,"P1_*"))/(COUNTIFS(ระบบเตือน!$C$4:$C$203,"Gemini",ระบบเตือน!$A$4:$A$203,"P1_*")))</f>
        <v/>
      </c>
      <c r="C29" s="10">
        <f>IF((COUNTIFS(ระบบเตือน!$C$4:$C$203,"ในเครื่อง",ระบบเตือน!$A$4:$A$203,"P1_*"))=0,"-",(COUNTIFS(ระบบเตือน!$C$4:$C$203,"ในเครื่อง",ระบบเตือน!$H$4:$H$203,"Y",ระบบเตือน!$A$4:$A$203,"P1_*"))/(COUNTIFS(ระบบเตือน!$C$4:$C$203,"ในเครื่อง",ระบบเตือน!$A$4:$A$203,"P1_*")))</f>
        <v/>
      </c>
      <c r="D29" s="11" t="inlineStr"/>
    </row>
    <row r="30">
      <c r="A30" s="2" t="inlineStr">
        <is>
          <t>Recall P2 (เพื่อน)</t>
        </is>
      </c>
      <c r="B30" s="10">
        <f>IF((COUNTIFS(เฉลย!$A$4:$A$203,"P2_*",เฉลย!$C$4:$C$203,"&lt;&gt;"))=0,"-",(COUNTIFS(เฉลย!$G$4:$G$203,"Y",เฉลย!$A$4:$A$203,"P2_*"))/(COUNTIFS(เฉลย!$A$4:$A$203,"P2_*",เฉลย!$C$4:$C$203,"&lt;&gt;")))</f>
        <v/>
      </c>
      <c r="C30" s="10">
        <f>IF((COUNTIFS(เฉลย!$A$4:$A$203,"P2_*",เฉลย!$C$4:$C$203,"&lt;&gt;"))=0,"-",(COUNTIFS(เฉลย!$I$4:$I$203,"Y",เฉลย!$A$4:$A$203,"P2_*"))/(COUNTIFS(เฉลย!$A$4:$A$203,"P2_*",เฉลย!$C$4:$C$203,"&lt;&gt;")))</f>
        <v/>
      </c>
      <c r="D30" s="11" t="inlineStr"/>
    </row>
    <row r="31">
      <c r="A31" s="2" t="inlineStr">
        <is>
          <t>Precision P2 (เพื่อน)</t>
        </is>
      </c>
      <c r="B31" s="10">
        <f>IF((COUNTIFS(ระบบเตือน!$C$4:$C$203,"Gemini",ระบบเตือน!$A$4:$A$203,"P2_*"))=0,"-",(COUNTIFS(ระบบเตือน!$C$4:$C$203,"Gemini",ระบบเตือน!$H$4:$H$203,"Y",ระบบเตือน!$A$4:$A$203,"P2_*"))/(COUNTIFS(ระบบเตือน!$C$4:$C$203,"Gemini",ระบบเตือน!$A$4:$A$203,"P2_*")))</f>
        <v/>
      </c>
      <c r="C31" s="10">
        <f>IF((COUNTIFS(ระบบเตือน!$C$4:$C$203,"ในเครื่อง",ระบบเตือน!$A$4:$A$203,"P2_*"))=0,"-",(COUNTIFS(ระบบเตือน!$C$4:$C$203,"ในเครื่อง",ระบบเตือน!$H$4:$H$203,"Y",ระบบเตือน!$A$4:$A$203,"P2_*"))/(COUNTIFS(ระบบเตือน!$C$4:$C$203,"ในเครื่อง",ระบบเตือน!$A$4:$A$203,"P2_*")))</f>
        <v/>
      </c>
      <c r="D31" s="11" t="inlineStr"/>
    </row>
    <row r="32">
      <c r="A32" s="2" t="inlineStr"/>
    </row>
    <row r="33">
      <c r="A33" s="3" t="inlineStr">
        <is>
          <t>ความน่าเชื่อถือของเฉลย (2 คนจดตรงกันไหม)</t>
        </is>
      </c>
    </row>
    <row r="34">
      <c r="A34" s="2" t="inlineStr">
        <is>
          <t>จำนวนปัญหาที่คนที่ 1 จด</t>
        </is>
      </c>
      <c r="B34" s="8">
        <f>B5</f>
        <v/>
      </c>
    </row>
    <row r="35">
      <c r="A35" s="2" t="inlineStr">
        <is>
          <t>จำนวนปัญหาที่คนที่ 2 จด</t>
        </is>
      </c>
      <c r="B35" s="8">
        <f>COUNTIFS(เฉลยคนที่2!$A$4:$A$203,"&lt;&gt;",เฉลยคนที่2!$C$4:$C$203,"&lt;&gt;")</f>
        <v/>
      </c>
    </row>
    <row r="36">
      <c r="A36" s="2" t="inlineStr">
        <is>
          <t>จำนวนที่ตรงกัน</t>
        </is>
      </c>
      <c r="B36" s="8">
        <f>COUNTIF(เฉลยคนที่2!$G$4:$G$203,"Y")</f>
        <v/>
      </c>
    </row>
    <row r="37">
      <c r="A37" s="2" t="inlineStr">
        <is>
          <t>ความตรงกัน (2 × ตรงกัน ÷ รวมสองคน)</t>
        </is>
      </c>
      <c r="B37" s="10">
        <f>IF((B34+B35)=0,"-",(2*B36)/(B34+B35))</f>
        <v/>
      </c>
    </row>
    <row r="39">
      <c r="A39" s="14" t="inlineStr">
        <is>
          <t>ความตรงกันตั้งแต่ราว 80% ขึ้นไปถือว่าเฉลยเชื่อถือได้ · ถ้าต่ำ ให้สองคนคุยกันแล้วแก้ชีตเฉลยหลัก</t>
        </is>
      </c>
    </row>
    <row r="40">
      <c r="A40" s="14" t="inlineStr">
        <is>
          <t>หมายเหตุ: Recall นับจากคอลัมน์ G/I ในชีตเฉลย, Precision นับจากคอลัมน์ H ในชีตระบบเตือน, กติกา 'ตรง' ดูชีตวิธีใช้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3" t="inlineStr">
        <is>
          <t>ประเภทปัญหา</t>
        </is>
      </c>
      <c r="B1" s="3" t="inlineStr">
        <is>
          <t>ภาษา</t>
        </is>
      </c>
      <c r="C1" s="3" t="inlineStr">
        <is>
          <t>ใช่/ไม่</t>
        </is>
      </c>
      <c r="D1" s="3" t="inlineStr">
        <is>
          <t>โค้ช</t>
        </is>
      </c>
      <c r="E1" s="3" t="inlineStr">
        <is>
          <t>ผลตรวจ</t>
        </is>
      </c>
      <c r="F1" s="3" t="inlineStr">
        <is>
          <t>เลือก</t>
        </is>
      </c>
      <c r="G1" s="3" t="inlineStr">
        <is>
          <t>ส่วน</t>
        </is>
      </c>
    </row>
    <row r="2">
      <c r="A2" s="2" t="inlineStr">
        <is>
          <t>มองออกนอกกล้อง</t>
        </is>
      </c>
      <c r="B2" s="2" t="inlineStr">
        <is>
          <t>ไทย</t>
        </is>
      </c>
      <c r="C2" s="2" t="inlineStr">
        <is>
          <t>Y</t>
        </is>
      </c>
      <c r="D2" s="2" t="inlineStr">
        <is>
          <t>Gemini</t>
        </is>
      </c>
      <c r="E2" s="2" t="inlineStr">
        <is>
          <t>จริง</t>
        </is>
      </c>
      <c r="F2" s="2" t="inlineStr">
        <is>
          <t>A</t>
        </is>
      </c>
      <c r="G2" s="2" t="inlineStr">
        <is>
          <t>ควรแก้</t>
        </is>
      </c>
    </row>
    <row r="3">
      <c r="A3" s="2" t="inlineStr">
        <is>
          <t>ก้มหน้า</t>
        </is>
      </c>
      <c r="B3" s="2" t="inlineStr">
        <is>
          <t>อังกฤษ</t>
        </is>
      </c>
      <c r="C3" s="2" t="inlineStr">
        <is>
          <t>N</t>
        </is>
      </c>
      <c r="D3" s="2" t="inlineStr">
        <is>
          <t>ในเครื่อง</t>
        </is>
      </c>
      <c r="E3" s="2" t="inlineStr">
        <is>
          <t>ไม่จริง</t>
        </is>
      </c>
      <c r="F3" s="2" t="inlineStr">
        <is>
          <t>B</t>
        </is>
      </c>
      <c r="G3" s="2" t="inlineStr">
        <is>
          <t>จุดเด่น</t>
        </is>
      </c>
    </row>
    <row r="4">
      <c r="A4" s="2" t="inlineStr">
        <is>
          <t>หันหน้าซ้าย/ขวา</t>
        </is>
      </c>
      <c r="B4" s="2" t="n"/>
      <c r="C4" s="2" t="n"/>
      <c r="D4" s="2" t="n"/>
      <c r="E4" s="2" t="inlineStr">
        <is>
          <t>ตรวจไม่ได้</t>
        </is>
      </c>
      <c r="F4" s="2" t="inlineStr">
        <is>
          <t>เท่ากัน</t>
        </is>
      </c>
      <c r="G4" s="2" t="n"/>
    </row>
    <row r="5">
      <c r="A5" s="2" t="inlineStr">
        <is>
          <t>เงยหน้า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มือไม่อยู่ในเฟรม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มือขยับมาก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หน้านิ่ง/ไม่ยิ้ม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หยุดพูดนาน (≥3 วิ)</t>
        </is>
      </c>
      <c r="B9" s="2" t="n"/>
      <c r="C9" s="2" t="n"/>
      <c r="D9" s="2" t="n"/>
      <c r="E9" s="2" t="n"/>
      <c r="F9" s="2" t="n"/>
      <c r="G9" s="2" t="n"/>
    </row>
    <row r="10">
      <c r="A10" s="2" t="inlineStr">
        <is>
          <t>เริ่มตอบช้า (≥3 วิ)</t>
        </is>
      </c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พูดเร็วเกินไป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พูดช้าเกินไป</t>
        </is>
      </c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คำตอบสั้นไป</t>
        </is>
      </c>
      <c r="B13" s="2" t="n"/>
      <c r="C13" s="2" t="n"/>
      <c r="D13" s="2" t="n"/>
      <c r="E13" s="2" t="n"/>
      <c r="F13" s="2" t="n"/>
      <c r="G13" s="2" t="n"/>
    </row>
    <row r="14">
      <c r="A14" s="2" t="inlineStr">
        <is>
          <t>คำตอบยาวไป</t>
        </is>
      </c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เนื้อหาขาดตัวอย่าง/โครงสร้าง</t>
        </is>
      </c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คำฟุ่มเฟือย (ระบบไม่วัด)</t>
        </is>
      </c>
      <c r="B16" s="2" t="n"/>
      <c r="C16" s="2" t="n"/>
      <c r="D16" s="2" t="n"/>
      <c r="E16" s="2" t="n"/>
      <c r="F16" s="2" t="n"/>
      <c r="G1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34" customWidth="1" min="4" max="4"/>
    <col width="62" customWidth="1" min="5" max="5"/>
    <col width="9" customWidth="1" min="6" max="6"/>
    <col width="30" customWidth="1" min="7" max="7"/>
  </cols>
  <sheetData>
    <row r="1">
      <c r="A1" s="15" t="inlineStr">
        <is>
          <t>แผนอัดคลิป 2 คน × 14 คลิป · ความยาวคลิปละ 60–120 วินาที · นั่งหน้ากล้องในที่แสงพอ</t>
        </is>
      </c>
    </row>
    <row r="2" ht="34" customHeight="1">
      <c r="A2" s="16" t="inlineStr">
        <is>
          <t>คลิป</t>
        </is>
      </c>
      <c r="B2" s="16" t="inlineStr">
        <is>
          <t>ภาษา</t>
        </is>
      </c>
      <c r="C2" s="16" t="inlineStr">
        <is>
          <t>ผู้พูด</t>
        </is>
      </c>
      <c r="D2" s="16" t="inlineStr">
        <is>
          <t>คำถามที่แนะนำ</t>
        </is>
      </c>
      <c r="E2" s="16" t="inlineStr">
        <is>
          <t>ปัญหาที่ตั้งใจทำ (เวลาประมาณ)</t>
        </is>
      </c>
      <c r="F2" s="16" t="inlineStr">
        <is>
          <t>อัดแล้ว</t>
        </is>
      </c>
      <c r="G2" s="16" t="inlineStr">
        <is>
          <t>ชื่อไฟล์ / หมายเหตุ</t>
        </is>
      </c>
    </row>
    <row r="3">
      <c r="A3" s="9" t="inlineStr">
        <is>
          <t>P1_C01</t>
        </is>
      </c>
      <c r="B3" s="9" t="inlineStr">
        <is>
          <t>ไทย</t>
        </is>
      </c>
      <c r="C3" s="17" t="inlineStr">
        <is>
          <t>ผู้วิจัย</t>
        </is>
      </c>
      <c r="D3" s="9" t="inlineStr">
        <is>
          <t>q1 จุดแข็ง/จุดอ่อน</t>
        </is>
      </c>
      <c r="E3" s="18" t="inlineStr">
        <is>
          <t>ไม่มีปัญหา ตอบดี มองกล้อง (ตัวควบคุม: ระบบไม่ควรเตือน)</t>
        </is>
      </c>
      <c r="F3" s="17" t="n"/>
      <c r="G3" s="17" t="n"/>
    </row>
    <row r="4">
      <c r="A4" s="9" t="inlineStr">
        <is>
          <t>P1_C02</t>
        </is>
      </c>
      <c r="B4" s="9" t="inlineStr">
        <is>
          <t>ไทย</t>
        </is>
      </c>
      <c r="C4" s="17" t="inlineStr">
        <is>
          <t>ผู้วิจัย</t>
        </is>
      </c>
      <c r="D4" s="9" t="inlineStr">
        <is>
          <t>q3 ตัดสินใจยาก</t>
        </is>
      </c>
      <c r="E4" s="18" t="inlineStr">
        <is>
          <t>ก้มอ่านโน้ตช่วง 15–25 วิ</t>
        </is>
      </c>
      <c r="F4" s="17" t="n"/>
      <c r="G4" s="17" t="n"/>
    </row>
    <row r="5">
      <c r="A5" s="9" t="inlineStr">
        <is>
          <t>P1_C03</t>
        </is>
      </c>
      <c r="B5" s="9" t="inlineStr">
        <is>
          <t>ไทย</t>
        </is>
      </c>
      <c r="C5" s="17" t="inlineStr">
        <is>
          <t>ผู้วิจัย</t>
        </is>
      </c>
      <c r="D5" s="9" t="inlineStr">
        <is>
          <t>q4 ทีมมีปัญหา</t>
        </is>
      </c>
      <c r="E5" s="18" t="inlineStr">
        <is>
          <t>เริ่มตอบช้า 4 วิ + เงียบกลางคำตอบ 5 วิ ช่วงประมาณ 40 วิ</t>
        </is>
      </c>
      <c r="F5" s="17" t="n"/>
      <c r="G5" s="17" t="n"/>
    </row>
    <row r="6">
      <c r="A6" s="9" t="inlineStr">
        <is>
          <t>P1_C04</t>
        </is>
      </c>
      <c r="B6" s="9" t="inlineStr">
        <is>
          <t>ไทย</t>
        </is>
      </c>
      <c r="C6" s="17" t="inlineStr">
        <is>
          <t>ผู้วิจัย</t>
        </is>
      </c>
      <c r="D6" s="9" t="inlineStr">
        <is>
          <t>q2 เพื่อนบรรยาย</t>
        </is>
      </c>
      <c r="E6" s="18" t="inlineStr">
        <is>
          <t>หันซ้ายช่วง 20–26 วิ และหันขวาช่วง 50–56 วิ</t>
        </is>
      </c>
      <c r="F6" s="17" t="n"/>
      <c r="G6" s="17" t="n"/>
    </row>
    <row r="7">
      <c r="A7" s="9" t="inlineStr">
        <is>
          <t>P1_C05</t>
        </is>
      </c>
      <c r="B7" s="9" t="inlineStr">
        <is>
          <t>ไทย</t>
        </is>
      </c>
      <c r="C7" s="17" t="inlineStr">
        <is>
          <t>ผู้วิจัย</t>
        </is>
      </c>
      <c r="D7" s="9" t="inlineStr">
        <is>
          <t>intro แนะนำตัว</t>
        </is>
      </c>
      <c r="E7" s="18" t="inlineStr">
        <is>
          <t>มือไม่อยู่ในเฟรมทั้งคลิป + หน้านิ่งไม่ยิ้ม</t>
        </is>
      </c>
      <c r="F7" s="17" t="n"/>
      <c r="G7" s="17" t="n"/>
    </row>
    <row r="8">
      <c r="A8" s="9" t="inlineStr">
        <is>
          <t>P1_C06</t>
        </is>
      </c>
      <c r="B8" s="9" t="inlineStr">
        <is>
          <t>ไทย</t>
        </is>
      </c>
      <c r="C8" s="17" t="inlineStr">
        <is>
          <t>ผู้วิจัย</t>
        </is>
      </c>
      <c r="D8" s="9" t="inlineStr">
        <is>
          <t>q1 จุดแข็ง/จุดอ่อน</t>
        </is>
      </c>
      <c r="E8" s="18" t="inlineStr">
        <is>
          <t>ตอบสั้นไม่ถึง 30 วิ ไม่มีตัวอย่าง</t>
        </is>
      </c>
      <c r="F8" s="17" t="n"/>
      <c r="G8" s="17" t="n"/>
    </row>
    <row r="9">
      <c r="A9" s="9" t="inlineStr">
        <is>
          <t>P1_C07</t>
        </is>
      </c>
      <c r="B9" s="9" t="inlineStr">
        <is>
          <t>ไทย</t>
        </is>
      </c>
      <c r="C9" s="17" t="inlineStr">
        <is>
          <t>ผู้วิจัย</t>
        </is>
      </c>
      <c r="D9" s="9" t="inlineStr">
        <is>
          <t>q5 เห็นต่าง</t>
        </is>
      </c>
      <c r="E9" s="18" t="inlineStr">
        <is>
          <t>พูดเร็วมาก + พูด 'เอ่อ' บ่อย (ทดสอบว่าระบบไม่อ้างเรื่องคำฟุ่มเฟือย)</t>
        </is>
      </c>
      <c r="F9" s="17" t="n"/>
      <c r="G9" s="17" t="n"/>
    </row>
    <row r="10">
      <c r="A10" s="9" t="inlineStr">
        <is>
          <t>P1_C08</t>
        </is>
      </c>
      <c r="B10" s="9" t="inlineStr">
        <is>
          <t>อังกฤษ</t>
        </is>
      </c>
      <c r="C10" s="17" t="inlineStr">
        <is>
          <t>ผู้วิจัย</t>
        </is>
      </c>
      <c r="D10" s="9" t="inlineStr">
        <is>
          <t>intro Tell me about yourself</t>
        </is>
      </c>
      <c r="E10" s="18" t="inlineStr">
        <is>
          <t>No problems, good answer (control)</t>
        </is>
      </c>
      <c r="F10" s="17" t="n"/>
      <c r="G10" s="17" t="n"/>
    </row>
    <row r="11">
      <c r="A11" s="9" t="inlineStr">
        <is>
          <t>P1_C09</t>
        </is>
      </c>
      <c r="B11" s="9" t="inlineStr">
        <is>
          <t>อังกฤษ</t>
        </is>
      </c>
      <c r="C11" s="17" t="inlineStr">
        <is>
          <t>ผู้วิจัย</t>
        </is>
      </c>
      <c r="D11" s="9" t="inlineStr">
        <is>
          <t>q3 difficult decision</t>
        </is>
      </c>
      <c r="E11" s="18" t="inlineStr">
        <is>
          <t>Look away from camera 20–30 s</t>
        </is>
      </c>
      <c r="F11" s="17" t="n"/>
      <c r="G11" s="17" t="n"/>
    </row>
    <row r="12">
      <c r="A12" s="9" t="inlineStr">
        <is>
          <t>P1_C10</t>
        </is>
      </c>
      <c r="B12" s="9" t="inlineStr">
        <is>
          <t>อังกฤษ</t>
        </is>
      </c>
      <c r="C12" s="17" t="inlineStr">
        <is>
          <t>ผู้วิจัย</t>
        </is>
      </c>
      <c r="D12" s="9" t="inlineStr">
        <is>
          <t>q6 tight deadline</t>
        </is>
      </c>
      <c r="E12" s="18" t="inlineStr">
        <is>
          <t>Long pause 6 s around 45 s</t>
        </is>
      </c>
      <c r="F12" s="17" t="n"/>
      <c r="G12" s="17" t="n"/>
    </row>
    <row r="13">
      <c r="A13" s="9" t="inlineStr">
        <is>
          <t>P1_C11</t>
        </is>
      </c>
      <c r="B13" s="9" t="inlineStr">
        <is>
          <t>อังกฤษ</t>
        </is>
      </c>
      <c r="C13" s="17" t="inlineStr">
        <is>
          <t>ผู้วิจัย</t>
        </is>
      </c>
      <c r="D13" s="9" t="inlineStr">
        <is>
          <t>q4 team problem</t>
        </is>
      </c>
      <c r="E13" s="18" t="inlineStr">
        <is>
          <t>Head down reading notes 10–22 s and 60–70 s</t>
        </is>
      </c>
      <c r="F13" s="17" t="n"/>
      <c r="G13" s="17" t="n"/>
    </row>
    <row r="14">
      <c r="A14" s="9" t="inlineStr">
        <is>
          <t>P1_C12</t>
        </is>
      </c>
      <c r="B14" s="9" t="inlineStr">
        <is>
          <t>อังกฤษ</t>
        </is>
      </c>
      <c r="C14" s="17" t="inlineStr">
        <is>
          <t>ผู้วิจัย</t>
        </is>
      </c>
      <c r="D14" s="9" t="inlineStr">
        <is>
          <t>q2 best friend</t>
        </is>
      </c>
      <c r="E14" s="18" t="inlineStr">
        <is>
          <t>Hands moving a lot the whole clip, little smiling</t>
        </is>
      </c>
      <c r="F14" s="17" t="n"/>
      <c r="G14" s="17" t="n"/>
    </row>
    <row r="15">
      <c r="A15" s="9" t="inlineStr">
        <is>
          <t>P1_C13</t>
        </is>
      </c>
      <c r="B15" s="9" t="inlineStr">
        <is>
          <t>อังกฤษ</t>
        </is>
      </c>
      <c r="C15" s="17" t="inlineStr">
        <is>
          <t>ผู้วิจัย</t>
        </is>
      </c>
      <c r="D15" s="9" t="inlineStr">
        <is>
          <t>q1 strengths</t>
        </is>
      </c>
      <c r="E15" s="18" t="inlineStr">
        <is>
          <t>Ramble longer than 150 s, no clear example</t>
        </is>
      </c>
      <c r="F15" s="17" t="n"/>
      <c r="G15" s="17" t="n"/>
    </row>
    <row r="16">
      <c r="A16" s="9" t="inlineStr">
        <is>
          <t>P1_C14</t>
        </is>
      </c>
      <c r="B16" s="9" t="inlineStr">
        <is>
          <t>อังกฤษ</t>
        </is>
      </c>
      <c r="C16" s="17" t="inlineStr">
        <is>
          <t>ผู้วิจัย</t>
        </is>
      </c>
      <c r="D16" s="9" t="inlineStr">
        <is>
          <t>q5 disagreement</t>
        </is>
      </c>
      <c r="E16" s="18" t="inlineStr">
        <is>
          <t>Speak very fast + many 'um/uh'</t>
        </is>
      </c>
      <c r="F16" s="17" t="n"/>
      <c r="G16" s="17" t="n"/>
    </row>
    <row r="17">
      <c r="A17" s="9" t="inlineStr">
        <is>
          <t>P2_C01</t>
        </is>
      </c>
      <c r="B17" s="9" t="inlineStr">
        <is>
          <t>ไทย</t>
        </is>
      </c>
      <c r="C17" s="17" t="inlineStr">
        <is>
          <t>เพื่อน</t>
        </is>
      </c>
      <c r="D17" s="9" t="inlineStr">
        <is>
          <t>q1 จุดแข็ง/จุดอ่อน</t>
        </is>
      </c>
      <c r="E17" s="18" t="inlineStr">
        <is>
          <t>ไม่มีปัญหา ตอบดี มองกล้อง (ตัวควบคุม: ระบบไม่ควรเตือน)</t>
        </is>
      </c>
      <c r="F17" s="17" t="n"/>
      <c r="G17" s="17" t="n"/>
    </row>
    <row r="18">
      <c r="A18" s="9" t="inlineStr">
        <is>
          <t>P2_C02</t>
        </is>
      </c>
      <c r="B18" s="9" t="inlineStr">
        <is>
          <t>ไทย</t>
        </is>
      </c>
      <c r="C18" s="17" t="inlineStr">
        <is>
          <t>เพื่อน</t>
        </is>
      </c>
      <c r="D18" s="9" t="inlineStr">
        <is>
          <t>q3 ตัดสินใจยาก</t>
        </is>
      </c>
      <c r="E18" s="18" t="inlineStr">
        <is>
          <t>ก้มอ่านโน้ตช่วง 15–25 วิ</t>
        </is>
      </c>
      <c r="F18" s="17" t="n"/>
      <c r="G18" s="17" t="n"/>
    </row>
    <row r="19">
      <c r="A19" s="9" t="inlineStr">
        <is>
          <t>P2_C03</t>
        </is>
      </c>
      <c r="B19" s="9" t="inlineStr">
        <is>
          <t>ไทย</t>
        </is>
      </c>
      <c r="C19" s="17" t="inlineStr">
        <is>
          <t>เพื่อน</t>
        </is>
      </c>
      <c r="D19" s="9" t="inlineStr">
        <is>
          <t>q4 ทีมมีปัญหา</t>
        </is>
      </c>
      <c r="E19" s="18" t="inlineStr">
        <is>
          <t>เริ่มตอบช้า 4 วิ + เงียบกลางคำตอบ 5 วิ ช่วงประมาณ 40 วิ</t>
        </is>
      </c>
      <c r="F19" s="17" t="n"/>
      <c r="G19" s="17" t="n"/>
    </row>
    <row r="20">
      <c r="A20" s="9" t="inlineStr">
        <is>
          <t>P2_C04</t>
        </is>
      </c>
      <c r="B20" s="9" t="inlineStr">
        <is>
          <t>ไทย</t>
        </is>
      </c>
      <c r="C20" s="17" t="inlineStr">
        <is>
          <t>เพื่อน</t>
        </is>
      </c>
      <c r="D20" s="9" t="inlineStr">
        <is>
          <t>q2 เพื่อนบรรยาย</t>
        </is>
      </c>
      <c r="E20" s="18" t="inlineStr">
        <is>
          <t>หันซ้ายช่วง 20–26 วิ และหันขวาช่วง 50–56 วิ</t>
        </is>
      </c>
      <c r="F20" s="17" t="n"/>
      <c r="G20" s="17" t="n"/>
    </row>
    <row r="21">
      <c r="A21" s="9" t="inlineStr">
        <is>
          <t>P2_C05</t>
        </is>
      </c>
      <c r="B21" s="9" t="inlineStr">
        <is>
          <t>ไทย</t>
        </is>
      </c>
      <c r="C21" s="17" t="inlineStr">
        <is>
          <t>เพื่อน</t>
        </is>
      </c>
      <c r="D21" s="9" t="inlineStr">
        <is>
          <t>intro แนะนำตัว</t>
        </is>
      </c>
      <c r="E21" s="18" t="inlineStr">
        <is>
          <t>มือไม่อยู่ในเฟรมทั้งคลิป + หน้านิ่งไม่ยิ้ม</t>
        </is>
      </c>
      <c r="F21" s="17" t="n"/>
      <c r="G21" s="17" t="n"/>
    </row>
    <row r="22">
      <c r="A22" s="9" t="inlineStr">
        <is>
          <t>P2_C06</t>
        </is>
      </c>
      <c r="B22" s="9" t="inlineStr">
        <is>
          <t>ไทย</t>
        </is>
      </c>
      <c r="C22" s="17" t="inlineStr">
        <is>
          <t>เพื่อน</t>
        </is>
      </c>
      <c r="D22" s="9" t="inlineStr">
        <is>
          <t>q1 จุดแข็ง/จุดอ่อน</t>
        </is>
      </c>
      <c r="E22" s="18" t="inlineStr">
        <is>
          <t>ตอบสั้นไม่ถึง 30 วิ ไม่มีตัวอย่าง</t>
        </is>
      </c>
      <c r="F22" s="17" t="n"/>
      <c r="G22" s="17" t="n"/>
    </row>
    <row r="23">
      <c r="A23" s="9" t="inlineStr">
        <is>
          <t>P2_C07</t>
        </is>
      </c>
      <c r="B23" s="9" t="inlineStr">
        <is>
          <t>ไทย</t>
        </is>
      </c>
      <c r="C23" s="17" t="inlineStr">
        <is>
          <t>เพื่อน</t>
        </is>
      </c>
      <c r="D23" s="9" t="inlineStr">
        <is>
          <t>q5 เห็นต่าง</t>
        </is>
      </c>
      <c r="E23" s="18" t="inlineStr">
        <is>
          <t>พูดเร็วมาก + พูด 'เอ่อ' บ่อย (ทดสอบว่าระบบไม่อ้างเรื่องคำฟุ่มเฟือย)</t>
        </is>
      </c>
      <c r="F23" s="17" t="n"/>
      <c r="G23" s="17" t="n"/>
    </row>
    <row r="24">
      <c r="A24" s="9" t="inlineStr">
        <is>
          <t>P2_C08</t>
        </is>
      </c>
      <c r="B24" s="9" t="inlineStr">
        <is>
          <t>อังกฤษ</t>
        </is>
      </c>
      <c r="C24" s="17" t="inlineStr">
        <is>
          <t>เพื่อน</t>
        </is>
      </c>
      <c r="D24" s="9" t="inlineStr">
        <is>
          <t>intro Tell me about yourself</t>
        </is>
      </c>
      <c r="E24" s="18" t="inlineStr">
        <is>
          <t>No problems, good answer (control)</t>
        </is>
      </c>
      <c r="F24" s="17" t="n"/>
      <c r="G24" s="17" t="n"/>
    </row>
    <row r="25">
      <c r="A25" s="9" t="inlineStr">
        <is>
          <t>P2_C09</t>
        </is>
      </c>
      <c r="B25" s="9" t="inlineStr">
        <is>
          <t>อังกฤษ</t>
        </is>
      </c>
      <c r="C25" s="17" t="inlineStr">
        <is>
          <t>เพื่อน</t>
        </is>
      </c>
      <c r="D25" s="9" t="inlineStr">
        <is>
          <t>q3 difficult decision</t>
        </is>
      </c>
      <c r="E25" s="18" t="inlineStr">
        <is>
          <t>Look away from camera 20–30 s</t>
        </is>
      </c>
      <c r="F25" s="17" t="n"/>
      <c r="G25" s="17" t="n"/>
    </row>
    <row r="26">
      <c r="A26" s="9" t="inlineStr">
        <is>
          <t>P2_C10</t>
        </is>
      </c>
      <c r="B26" s="9" t="inlineStr">
        <is>
          <t>อังกฤษ</t>
        </is>
      </c>
      <c r="C26" s="17" t="inlineStr">
        <is>
          <t>เพื่อน</t>
        </is>
      </c>
      <c r="D26" s="9" t="inlineStr">
        <is>
          <t>q6 tight deadline</t>
        </is>
      </c>
      <c r="E26" s="18" t="inlineStr">
        <is>
          <t>Long pause 6 s around 45 s</t>
        </is>
      </c>
      <c r="F26" s="17" t="n"/>
      <c r="G26" s="17" t="n"/>
    </row>
    <row r="27">
      <c r="A27" s="9" t="inlineStr">
        <is>
          <t>P2_C11</t>
        </is>
      </c>
      <c r="B27" s="9" t="inlineStr">
        <is>
          <t>อังกฤษ</t>
        </is>
      </c>
      <c r="C27" s="17" t="inlineStr">
        <is>
          <t>เพื่อน</t>
        </is>
      </c>
      <c r="D27" s="9" t="inlineStr">
        <is>
          <t>q4 team problem</t>
        </is>
      </c>
      <c r="E27" s="18" t="inlineStr">
        <is>
          <t>Head down reading notes 10–22 s and 60–70 s</t>
        </is>
      </c>
      <c r="F27" s="17" t="n"/>
      <c r="G27" s="17" t="n"/>
    </row>
    <row r="28">
      <c r="A28" s="9" t="inlineStr">
        <is>
          <t>P2_C12</t>
        </is>
      </c>
      <c r="B28" s="9" t="inlineStr">
        <is>
          <t>อังกฤษ</t>
        </is>
      </c>
      <c r="C28" s="17" t="inlineStr">
        <is>
          <t>เพื่อน</t>
        </is>
      </c>
      <c r="D28" s="9" t="inlineStr">
        <is>
          <t>q2 best friend</t>
        </is>
      </c>
      <c r="E28" s="18" t="inlineStr">
        <is>
          <t>Hands moving a lot the whole clip, little smiling</t>
        </is>
      </c>
      <c r="F28" s="17" t="n"/>
      <c r="G28" s="17" t="n"/>
    </row>
    <row r="29">
      <c r="A29" s="9" t="inlineStr">
        <is>
          <t>P2_C13</t>
        </is>
      </c>
      <c r="B29" s="9" t="inlineStr">
        <is>
          <t>อังกฤษ</t>
        </is>
      </c>
      <c r="C29" s="17" t="inlineStr">
        <is>
          <t>เพื่อน</t>
        </is>
      </c>
      <c r="D29" s="9" t="inlineStr">
        <is>
          <t>q1 strengths</t>
        </is>
      </c>
      <c r="E29" s="18" t="inlineStr">
        <is>
          <t>Ramble longer than 150 s, no clear example</t>
        </is>
      </c>
      <c r="F29" s="17" t="n"/>
      <c r="G29" s="17" t="n"/>
    </row>
    <row r="30">
      <c r="A30" s="9" t="inlineStr">
        <is>
          <t>P2_C14</t>
        </is>
      </c>
      <c r="B30" s="9" t="inlineStr">
        <is>
          <t>อังกฤษ</t>
        </is>
      </c>
      <c r="C30" s="17" t="inlineStr">
        <is>
          <t>เพื่อน</t>
        </is>
      </c>
      <c r="D30" s="9" t="inlineStr">
        <is>
          <t>q5 disagreement</t>
        </is>
      </c>
      <c r="E30" s="18" t="inlineStr">
        <is>
          <t>Speak very fast + many 'um/uh'</t>
        </is>
      </c>
      <c r="F30" s="17" t="n"/>
      <c r="G30" s="17" t="n"/>
    </row>
  </sheetData>
  <dataValidations count="1">
    <dataValidation sqref="F3:F30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9" customWidth="1" min="4" max="4"/>
    <col width="9" customWidth="1" min="5" max="5"/>
    <col width="28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3" customWidth="1" min="12" max="12"/>
  </cols>
  <sheetData>
    <row r="1">
      <c r="A1" s="15" t="inlineStr">
        <is>
          <t>เฉลย: ปัญหาที่เกิดจริงในคลิป (กรอกคอลัมน์ A–F ก่อนรันแอป, G–J หลังรันแอป)</t>
        </is>
      </c>
    </row>
    <row r="2" ht="34" customHeight="1">
      <c r="A2" s="16" t="inlineStr">
        <is>
          <t>คลิป</t>
        </is>
      </c>
      <c r="B2" s="16" t="inlineStr">
        <is>
          <t>ภาษา (อัตโนมัติ)</t>
        </is>
      </c>
      <c r="C2" s="16" t="inlineStr">
        <is>
          <t>ประเภทปัญหา</t>
        </is>
      </c>
      <c r="D2" s="16" t="inlineStr">
        <is>
          <t>เริ่ม (วิ)</t>
        </is>
      </c>
      <c r="E2" s="16" t="inlineStr">
        <is>
          <t>จบ (วิ)</t>
        </is>
      </c>
      <c r="F2" s="16" t="inlineStr">
        <is>
          <t>หมายเหตุ</t>
        </is>
      </c>
      <c r="G2" s="16" t="inlineStr">
        <is>
          <t>จับได้ Gemini (Y/N)</t>
        </is>
      </c>
      <c r="H2" s="16" t="inlineStr">
        <is>
          <t>เวลาที่ Gemini บอก (เริ่ม วิ)</t>
        </is>
      </c>
      <c r="I2" s="16" t="inlineStr">
        <is>
          <t>จับได้ ในเครื่อง (Y/N)</t>
        </is>
      </c>
      <c r="J2" s="16" t="inlineStr">
        <is>
          <t>เวลาที่ในเครื่องบอก (เริ่ม วิ)</t>
        </is>
      </c>
      <c r="K2" s="16" t="inlineStr">
        <is>
          <t>คลาดเคลื่อน Gemini (วิ)</t>
        </is>
      </c>
      <c r="L2" s="16" t="inlineStr">
        <is>
          <t>คลาดเคลื่อน ในเครื่อง (วิ)</t>
        </is>
      </c>
    </row>
    <row r="3">
      <c r="A3" s="19" t="inlineStr">
        <is>
          <t>ตัวอย่าง</t>
        </is>
      </c>
      <c r="B3" s="19">
        <f>IF(A3="","",IFERROR(INDEX(แผนคลิป!$B:$B,MATCH(A3,แผนคลิป!$A:$A,0)),""))</f>
        <v/>
      </c>
      <c r="C3" s="19" t="inlineStr">
        <is>
          <t>ก้มหน้า</t>
        </is>
      </c>
      <c r="D3" s="19" t="n">
        <v>15</v>
      </c>
      <c r="E3" s="19" t="n">
        <v>25</v>
      </c>
      <c r="F3" s="19" t="inlineStr">
        <is>
          <t>ก้มอ่านโน้ต (คลิปจริงใช้รหัสเช่น P1_C02)</t>
        </is>
      </c>
      <c r="G3" s="19" t="inlineStr">
        <is>
          <t>Y</t>
        </is>
      </c>
      <c r="H3" s="19" t="n">
        <v>14</v>
      </c>
      <c r="I3" s="19" t="inlineStr">
        <is>
          <t>N</t>
        </is>
      </c>
      <c r="J3" s="19" t="n"/>
      <c r="K3" s="19">
        <f>IF(OR(D3="",H3=""),"",ABS(H3-D3))</f>
        <v/>
      </c>
      <c r="L3" s="19">
        <f>IF(OR(D3="",J3=""),"",ABS(J3-D3))</f>
        <v/>
      </c>
    </row>
    <row r="4">
      <c r="A4" s="17" t="n"/>
      <c r="B4" s="8">
        <f>IF(A4="","",IFERROR(INDEX(แผนคลิป!$B:$B,MATCH(A4,แผนคลิป!$A:$A,0)),""))</f>
        <v/>
      </c>
      <c r="C4" s="17" t="n"/>
      <c r="D4" s="17" t="n"/>
      <c r="E4" s="17" t="n"/>
      <c r="F4" s="17" t="n"/>
      <c r="G4" s="17" t="n"/>
      <c r="H4" s="17" t="n"/>
      <c r="I4" s="17" t="n"/>
      <c r="J4" s="17" t="n"/>
      <c r="K4" s="8">
        <f>IF(OR(D4="",H4=""),"",ABS(H4-D4))</f>
        <v/>
      </c>
      <c r="L4" s="8">
        <f>IF(OR(D4="",J4=""),"",ABS(J4-D4))</f>
        <v/>
      </c>
    </row>
    <row r="5">
      <c r="A5" s="17" t="n"/>
      <c r="B5" s="8">
        <f>IF(A5="","",IFERROR(INDEX(แผนคลิป!$B:$B,MATCH(A5,แผนคลิป!$A:$A,0)),""))</f>
        <v/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8">
        <f>IF(OR(D5="",H5=""),"",ABS(H5-D5))</f>
        <v/>
      </c>
      <c r="L5" s="8">
        <f>IF(OR(D5="",J5=""),"",ABS(J5-D5))</f>
        <v/>
      </c>
    </row>
    <row r="6">
      <c r="A6" s="17" t="n"/>
      <c r="B6" s="8">
        <f>IF(A6="","",IFERROR(INDEX(แผนคลิป!$B:$B,MATCH(A6,แผนคลิป!$A:$A,0)),""))</f>
        <v/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8">
        <f>IF(OR(D6="",H6=""),"",ABS(H6-D6))</f>
        <v/>
      </c>
      <c r="L6" s="8">
        <f>IF(OR(D6="",J6=""),"",ABS(J6-D6))</f>
        <v/>
      </c>
    </row>
    <row r="7">
      <c r="A7" s="17" t="n"/>
      <c r="B7" s="8">
        <f>IF(A7="","",IFERROR(INDEX(แผนคลิป!$B:$B,MATCH(A7,แผนคลิป!$A:$A,0)),""))</f>
        <v/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8">
        <f>IF(OR(D7="",H7=""),"",ABS(H7-D7))</f>
        <v/>
      </c>
      <c r="L7" s="8">
        <f>IF(OR(D7="",J7=""),"",ABS(J7-D7))</f>
        <v/>
      </c>
    </row>
    <row r="8">
      <c r="A8" s="17" t="n"/>
      <c r="B8" s="8">
        <f>IF(A8="","",IFERROR(INDEX(แผนคลิป!$B:$B,MATCH(A8,แผนคลิป!$A:$A,0)),""))</f>
        <v/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8">
        <f>IF(OR(D8="",H8=""),"",ABS(H8-D8))</f>
        <v/>
      </c>
      <c r="L8" s="8">
        <f>IF(OR(D8="",J8=""),"",ABS(J8-D8))</f>
        <v/>
      </c>
    </row>
    <row r="9">
      <c r="A9" s="17" t="n"/>
      <c r="B9" s="8">
        <f>IF(A9="","",IFERROR(INDEX(แผนคลิป!$B:$B,MATCH(A9,แผนคลิป!$A:$A,0)),""))</f>
        <v/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8">
        <f>IF(OR(D9="",H9=""),"",ABS(H9-D9))</f>
        <v/>
      </c>
      <c r="L9" s="8">
        <f>IF(OR(D9="",J9=""),"",ABS(J9-D9))</f>
        <v/>
      </c>
    </row>
    <row r="10">
      <c r="A10" s="17" t="n"/>
      <c r="B10" s="8">
        <f>IF(A10="","",IFERROR(INDEX(แผนคลิป!$B:$B,MATCH(A10,แผนคลิป!$A:$A,0)),""))</f>
        <v/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8">
        <f>IF(OR(D10="",H10=""),"",ABS(H10-D10))</f>
        <v/>
      </c>
      <c r="L10" s="8">
        <f>IF(OR(D10="",J10=""),"",ABS(J10-D10))</f>
        <v/>
      </c>
    </row>
    <row r="11">
      <c r="A11" s="17" t="n"/>
      <c r="B11" s="8">
        <f>IF(A11="","",IFERROR(INDEX(แผนคลิป!$B:$B,MATCH(A11,แผนคลิป!$A:$A,0)),""))</f>
        <v/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8">
        <f>IF(OR(D11="",H11=""),"",ABS(H11-D11))</f>
        <v/>
      </c>
      <c r="L11" s="8">
        <f>IF(OR(D11="",J11=""),"",ABS(J11-D11))</f>
        <v/>
      </c>
    </row>
    <row r="12">
      <c r="A12" s="17" t="n"/>
      <c r="B12" s="8">
        <f>IF(A12="","",IFERROR(INDEX(แผนคลิป!$B:$B,MATCH(A12,แผนคลิป!$A:$A,0)),""))</f>
        <v/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8">
        <f>IF(OR(D12="",H12=""),"",ABS(H12-D12))</f>
        <v/>
      </c>
      <c r="L12" s="8">
        <f>IF(OR(D12="",J12=""),"",ABS(J12-D12))</f>
        <v/>
      </c>
    </row>
    <row r="13">
      <c r="A13" s="17" t="n"/>
      <c r="B13" s="8">
        <f>IF(A13="","",IFERROR(INDEX(แผนคลิป!$B:$B,MATCH(A13,แผนคลิป!$A:$A,0)),""))</f>
        <v/>
      </c>
      <c r="C13" s="17" t="n"/>
      <c r="D13" s="17" t="n"/>
      <c r="E13" s="17" t="n"/>
      <c r="F13" s="17" t="n"/>
      <c r="G13" s="17" t="n"/>
      <c r="H13" s="17" t="n"/>
      <c r="I13" s="17" t="n"/>
      <c r="J13" s="17" t="n"/>
      <c r="K13" s="8">
        <f>IF(OR(D13="",H13=""),"",ABS(H13-D13))</f>
        <v/>
      </c>
      <c r="L13" s="8">
        <f>IF(OR(D13="",J13=""),"",ABS(J13-D13))</f>
        <v/>
      </c>
    </row>
    <row r="14">
      <c r="A14" s="17" t="n"/>
      <c r="B14" s="8">
        <f>IF(A14="","",IFERROR(INDEX(แผนคลิป!$B:$B,MATCH(A14,แผนคลิป!$A:$A,0)),""))</f>
        <v/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8">
        <f>IF(OR(D14="",H14=""),"",ABS(H14-D14))</f>
        <v/>
      </c>
      <c r="L14" s="8">
        <f>IF(OR(D14="",J14=""),"",ABS(J14-D14))</f>
        <v/>
      </c>
    </row>
    <row r="15">
      <c r="A15" s="17" t="n"/>
      <c r="B15" s="8">
        <f>IF(A15="","",IFERROR(INDEX(แผนคลิป!$B:$B,MATCH(A15,แผนคลิป!$A:$A,0)),""))</f>
        <v/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8">
        <f>IF(OR(D15="",H15=""),"",ABS(H15-D15))</f>
        <v/>
      </c>
      <c r="L15" s="8">
        <f>IF(OR(D15="",J15=""),"",ABS(J15-D15))</f>
        <v/>
      </c>
    </row>
    <row r="16">
      <c r="A16" s="17" t="n"/>
      <c r="B16" s="8">
        <f>IF(A16="","",IFERROR(INDEX(แผนคลิป!$B:$B,MATCH(A16,แผนคลิป!$A:$A,0)),""))</f>
        <v/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8">
        <f>IF(OR(D16="",H16=""),"",ABS(H16-D16))</f>
        <v/>
      </c>
      <c r="L16" s="8">
        <f>IF(OR(D16="",J16=""),"",ABS(J16-D16))</f>
        <v/>
      </c>
    </row>
    <row r="17">
      <c r="A17" s="17" t="n"/>
      <c r="B17" s="8">
        <f>IF(A17="","",IFERROR(INDEX(แผนคลิป!$B:$B,MATCH(A17,แผนคลิป!$A:$A,0)),""))</f>
        <v/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8">
        <f>IF(OR(D17="",H17=""),"",ABS(H17-D17))</f>
        <v/>
      </c>
      <c r="L17" s="8">
        <f>IF(OR(D17="",J17=""),"",ABS(J17-D17))</f>
        <v/>
      </c>
    </row>
    <row r="18">
      <c r="A18" s="17" t="n"/>
      <c r="B18" s="8">
        <f>IF(A18="","",IFERROR(INDEX(แผนคลิป!$B:$B,MATCH(A18,แผนคลิป!$A:$A,0)),""))</f>
        <v/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8">
        <f>IF(OR(D18="",H18=""),"",ABS(H18-D18))</f>
        <v/>
      </c>
      <c r="L18" s="8">
        <f>IF(OR(D18="",J18=""),"",ABS(J18-D18))</f>
        <v/>
      </c>
    </row>
    <row r="19">
      <c r="A19" s="17" t="n"/>
      <c r="B19" s="8">
        <f>IF(A19="","",IFERROR(INDEX(แผนคลิป!$B:$B,MATCH(A19,แผนคลิป!$A:$A,0)),""))</f>
        <v/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8">
        <f>IF(OR(D19="",H19=""),"",ABS(H19-D19))</f>
        <v/>
      </c>
      <c r="L19" s="8">
        <f>IF(OR(D19="",J19=""),"",ABS(J19-D19))</f>
        <v/>
      </c>
    </row>
    <row r="20">
      <c r="A20" s="17" t="n"/>
      <c r="B20" s="8">
        <f>IF(A20="","",IFERROR(INDEX(แผนคลิป!$B:$B,MATCH(A20,แผนคลิป!$A:$A,0)),""))</f>
        <v/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8">
        <f>IF(OR(D20="",H20=""),"",ABS(H20-D20))</f>
        <v/>
      </c>
      <c r="L20" s="8">
        <f>IF(OR(D20="",J20=""),"",ABS(J20-D20))</f>
        <v/>
      </c>
    </row>
    <row r="21">
      <c r="A21" s="17" t="n"/>
      <c r="B21" s="8">
        <f>IF(A21="","",IFERROR(INDEX(แผนคลิป!$B:$B,MATCH(A21,แผนคลิป!$A:$A,0)),""))</f>
        <v/>
      </c>
      <c r="C21" s="17" t="n"/>
      <c r="D21" s="17" t="n"/>
      <c r="E21" s="17" t="n"/>
      <c r="F21" s="17" t="n"/>
      <c r="G21" s="17" t="n"/>
      <c r="H21" s="17" t="n"/>
      <c r="I21" s="17" t="n"/>
      <c r="J21" s="17" t="n"/>
      <c r="K21" s="8">
        <f>IF(OR(D21="",H21=""),"",ABS(H21-D21))</f>
        <v/>
      </c>
      <c r="L21" s="8">
        <f>IF(OR(D21="",J21=""),"",ABS(J21-D21))</f>
        <v/>
      </c>
    </row>
    <row r="22">
      <c r="A22" s="17" t="n"/>
      <c r="B22" s="8">
        <f>IF(A22="","",IFERROR(INDEX(แผนคลิป!$B:$B,MATCH(A22,แผนคลิป!$A:$A,0)),""))</f>
        <v/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8">
        <f>IF(OR(D22="",H22=""),"",ABS(H22-D22))</f>
        <v/>
      </c>
      <c r="L22" s="8">
        <f>IF(OR(D22="",J22=""),"",ABS(J22-D22))</f>
        <v/>
      </c>
    </row>
    <row r="23">
      <c r="A23" s="17" t="n"/>
      <c r="B23" s="8">
        <f>IF(A23="","",IFERROR(INDEX(แผนคลิป!$B:$B,MATCH(A23,แผนคลิป!$A:$A,0)),""))</f>
        <v/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8">
        <f>IF(OR(D23="",H23=""),"",ABS(H23-D23))</f>
        <v/>
      </c>
      <c r="L23" s="8">
        <f>IF(OR(D23="",J23=""),"",ABS(J23-D23))</f>
        <v/>
      </c>
    </row>
    <row r="24">
      <c r="A24" s="17" t="n"/>
      <c r="B24" s="8">
        <f>IF(A24="","",IFERROR(INDEX(แผนคลิป!$B:$B,MATCH(A24,แผนคลิป!$A:$A,0)),""))</f>
        <v/>
      </c>
      <c r="C24" s="17" t="n"/>
      <c r="D24" s="17" t="n"/>
      <c r="E24" s="17" t="n"/>
      <c r="F24" s="17" t="n"/>
      <c r="G24" s="17" t="n"/>
      <c r="H24" s="17" t="n"/>
      <c r="I24" s="17" t="n"/>
      <c r="J24" s="17" t="n"/>
      <c r="K24" s="8">
        <f>IF(OR(D24="",H24=""),"",ABS(H24-D24))</f>
        <v/>
      </c>
      <c r="L24" s="8">
        <f>IF(OR(D24="",J24=""),"",ABS(J24-D24))</f>
        <v/>
      </c>
    </row>
    <row r="25">
      <c r="A25" s="17" t="n"/>
      <c r="B25" s="8">
        <f>IF(A25="","",IFERROR(INDEX(แผนคลิป!$B:$B,MATCH(A25,แผนคลิป!$A:$A,0)),""))</f>
        <v/>
      </c>
      <c r="C25" s="17" t="n"/>
      <c r="D25" s="17" t="n"/>
      <c r="E25" s="17" t="n"/>
      <c r="F25" s="17" t="n"/>
      <c r="G25" s="17" t="n"/>
      <c r="H25" s="17" t="n"/>
      <c r="I25" s="17" t="n"/>
      <c r="J25" s="17" t="n"/>
      <c r="K25" s="8">
        <f>IF(OR(D25="",H25=""),"",ABS(H25-D25))</f>
        <v/>
      </c>
      <c r="L25" s="8">
        <f>IF(OR(D25="",J25=""),"",ABS(J25-D25))</f>
        <v/>
      </c>
    </row>
    <row r="26">
      <c r="A26" s="17" t="n"/>
      <c r="B26" s="8">
        <f>IF(A26="","",IFERROR(INDEX(แผนคลิป!$B:$B,MATCH(A26,แผนคลิป!$A:$A,0)),""))</f>
        <v/>
      </c>
      <c r="C26" s="17" t="n"/>
      <c r="D26" s="17" t="n"/>
      <c r="E26" s="17" t="n"/>
      <c r="F26" s="17" t="n"/>
      <c r="G26" s="17" t="n"/>
      <c r="H26" s="17" t="n"/>
      <c r="I26" s="17" t="n"/>
      <c r="J26" s="17" t="n"/>
      <c r="K26" s="8">
        <f>IF(OR(D26="",H26=""),"",ABS(H26-D26))</f>
        <v/>
      </c>
      <c r="L26" s="8">
        <f>IF(OR(D26="",J26=""),"",ABS(J26-D26))</f>
        <v/>
      </c>
    </row>
    <row r="27">
      <c r="A27" s="17" t="n"/>
      <c r="B27" s="8">
        <f>IF(A27="","",IFERROR(INDEX(แผนคลิป!$B:$B,MATCH(A27,แผนคลิป!$A:$A,0)),""))</f>
        <v/>
      </c>
      <c r="C27" s="17" t="n"/>
      <c r="D27" s="17" t="n"/>
      <c r="E27" s="17" t="n"/>
      <c r="F27" s="17" t="n"/>
      <c r="G27" s="17" t="n"/>
      <c r="H27" s="17" t="n"/>
      <c r="I27" s="17" t="n"/>
      <c r="J27" s="17" t="n"/>
      <c r="K27" s="8">
        <f>IF(OR(D27="",H27=""),"",ABS(H27-D27))</f>
        <v/>
      </c>
      <c r="L27" s="8">
        <f>IF(OR(D27="",J27=""),"",ABS(J27-D27))</f>
        <v/>
      </c>
    </row>
    <row r="28">
      <c r="A28" s="17" t="n"/>
      <c r="B28" s="8">
        <f>IF(A28="","",IFERROR(INDEX(แผนคลิป!$B:$B,MATCH(A28,แผนคลิป!$A:$A,0)),""))</f>
        <v/>
      </c>
      <c r="C28" s="17" t="n"/>
      <c r="D28" s="17" t="n"/>
      <c r="E28" s="17" t="n"/>
      <c r="F28" s="17" t="n"/>
      <c r="G28" s="17" t="n"/>
      <c r="H28" s="17" t="n"/>
      <c r="I28" s="17" t="n"/>
      <c r="J28" s="17" t="n"/>
      <c r="K28" s="8">
        <f>IF(OR(D28="",H28=""),"",ABS(H28-D28))</f>
        <v/>
      </c>
      <c r="L28" s="8">
        <f>IF(OR(D28="",J28=""),"",ABS(J28-D28))</f>
        <v/>
      </c>
    </row>
    <row r="29">
      <c r="A29" s="17" t="n"/>
      <c r="B29" s="8">
        <f>IF(A29="","",IFERROR(INDEX(แผนคลิป!$B:$B,MATCH(A29,แผนคลิป!$A:$A,0)),""))</f>
        <v/>
      </c>
      <c r="C29" s="17" t="n"/>
      <c r="D29" s="17" t="n"/>
      <c r="E29" s="17" t="n"/>
      <c r="F29" s="17" t="n"/>
      <c r="G29" s="17" t="n"/>
      <c r="H29" s="17" t="n"/>
      <c r="I29" s="17" t="n"/>
      <c r="J29" s="17" t="n"/>
      <c r="K29" s="8">
        <f>IF(OR(D29="",H29=""),"",ABS(H29-D29))</f>
        <v/>
      </c>
      <c r="L29" s="8">
        <f>IF(OR(D29="",J29=""),"",ABS(J29-D29))</f>
        <v/>
      </c>
    </row>
    <row r="30">
      <c r="A30" s="17" t="n"/>
      <c r="B30" s="8">
        <f>IF(A30="","",IFERROR(INDEX(แผนคลิป!$B:$B,MATCH(A30,แผนคลิป!$A:$A,0)),""))</f>
        <v/>
      </c>
      <c r="C30" s="17" t="n"/>
      <c r="D30" s="17" t="n"/>
      <c r="E30" s="17" t="n"/>
      <c r="F30" s="17" t="n"/>
      <c r="G30" s="17" t="n"/>
      <c r="H30" s="17" t="n"/>
      <c r="I30" s="17" t="n"/>
      <c r="J30" s="17" t="n"/>
      <c r="K30" s="8">
        <f>IF(OR(D30="",H30=""),"",ABS(H30-D30))</f>
        <v/>
      </c>
      <c r="L30" s="8">
        <f>IF(OR(D30="",J30=""),"",ABS(J30-D30))</f>
        <v/>
      </c>
    </row>
    <row r="31">
      <c r="A31" s="17" t="n"/>
      <c r="B31" s="8">
        <f>IF(A31="","",IFERROR(INDEX(แผนคลิป!$B:$B,MATCH(A31,แผนคลิป!$A:$A,0)),""))</f>
        <v/>
      </c>
      <c r="C31" s="17" t="n"/>
      <c r="D31" s="17" t="n"/>
      <c r="E31" s="17" t="n"/>
      <c r="F31" s="17" t="n"/>
      <c r="G31" s="17" t="n"/>
      <c r="H31" s="17" t="n"/>
      <c r="I31" s="17" t="n"/>
      <c r="J31" s="17" t="n"/>
      <c r="K31" s="8">
        <f>IF(OR(D31="",H31=""),"",ABS(H31-D31))</f>
        <v/>
      </c>
      <c r="L31" s="8">
        <f>IF(OR(D31="",J31=""),"",ABS(J31-D31))</f>
        <v/>
      </c>
    </row>
    <row r="32">
      <c r="A32" s="17" t="n"/>
      <c r="B32" s="8">
        <f>IF(A32="","",IFERROR(INDEX(แผนคลิป!$B:$B,MATCH(A32,แผนคลิป!$A:$A,0)),""))</f>
        <v/>
      </c>
      <c r="C32" s="17" t="n"/>
      <c r="D32" s="17" t="n"/>
      <c r="E32" s="17" t="n"/>
      <c r="F32" s="17" t="n"/>
      <c r="G32" s="17" t="n"/>
      <c r="H32" s="17" t="n"/>
      <c r="I32" s="17" t="n"/>
      <c r="J32" s="17" t="n"/>
      <c r="K32" s="8">
        <f>IF(OR(D32="",H32=""),"",ABS(H32-D32))</f>
        <v/>
      </c>
      <c r="L32" s="8">
        <f>IF(OR(D32="",J32=""),"",ABS(J32-D32))</f>
        <v/>
      </c>
    </row>
    <row r="33">
      <c r="A33" s="17" t="n"/>
      <c r="B33" s="8">
        <f>IF(A33="","",IFERROR(INDEX(แผนคลิป!$B:$B,MATCH(A33,แผนคลิป!$A:$A,0)),""))</f>
        <v/>
      </c>
      <c r="C33" s="17" t="n"/>
      <c r="D33" s="17" t="n"/>
      <c r="E33" s="17" t="n"/>
      <c r="F33" s="17" t="n"/>
      <c r="G33" s="17" t="n"/>
      <c r="H33" s="17" t="n"/>
      <c r="I33" s="17" t="n"/>
      <c r="J33" s="17" t="n"/>
      <c r="K33" s="8">
        <f>IF(OR(D33="",H33=""),"",ABS(H33-D33))</f>
        <v/>
      </c>
      <c r="L33" s="8">
        <f>IF(OR(D33="",J33=""),"",ABS(J33-D33))</f>
        <v/>
      </c>
    </row>
    <row r="34">
      <c r="A34" s="17" t="n"/>
      <c r="B34" s="8">
        <f>IF(A34="","",IFERROR(INDEX(แผนคลิป!$B:$B,MATCH(A34,แผนคลิป!$A:$A,0)),""))</f>
        <v/>
      </c>
      <c r="C34" s="17" t="n"/>
      <c r="D34" s="17" t="n"/>
      <c r="E34" s="17" t="n"/>
      <c r="F34" s="17" t="n"/>
      <c r="G34" s="17" t="n"/>
      <c r="H34" s="17" t="n"/>
      <c r="I34" s="17" t="n"/>
      <c r="J34" s="17" t="n"/>
      <c r="K34" s="8">
        <f>IF(OR(D34="",H34=""),"",ABS(H34-D34))</f>
        <v/>
      </c>
      <c r="L34" s="8">
        <f>IF(OR(D34="",J34=""),"",ABS(J34-D34))</f>
        <v/>
      </c>
    </row>
    <row r="35">
      <c r="A35" s="17" t="n"/>
      <c r="B35" s="8">
        <f>IF(A35="","",IFERROR(INDEX(แผนคลิป!$B:$B,MATCH(A35,แผนคลิป!$A:$A,0)),""))</f>
        <v/>
      </c>
      <c r="C35" s="17" t="n"/>
      <c r="D35" s="17" t="n"/>
      <c r="E35" s="17" t="n"/>
      <c r="F35" s="17" t="n"/>
      <c r="G35" s="17" t="n"/>
      <c r="H35" s="17" t="n"/>
      <c r="I35" s="17" t="n"/>
      <c r="J35" s="17" t="n"/>
      <c r="K35" s="8">
        <f>IF(OR(D35="",H35=""),"",ABS(H35-D35))</f>
        <v/>
      </c>
      <c r="L35" s="8">
        <f>IF(OR(D35="",J35=""),"",ABS(J35-D35))</f>
        <v/>
      </c>
    </row>
    <row r="36">
      <c r="A36" s="17" t="n"/>
      <c r="B36" s="8">
        <f>IF(A36="","",IFERROR(INDEX(แผนคลิป!$B:$B,MATCH(A36,แผนคลิป!$A:$A,0)),""))</f>
        <v/>
      </c>
      <c r="C36" s="17" t="n"/>
      <c r="D36" s="17" t="n"/>
      <c r="E36" s="17" t="n"/>
      <c r="F36" s="17" t="n"/>
      <c r="G36" s="17" t="n"/>
      <c r="H36" s="17" t="n"/>
      <c r="I36" s="17" t="n"/>
      <c r="J36" s="17" t="n"/>
      <c r="K36" s="8">
        <f>IF(OR(D36="",H36=""),"",ABS(H36-D36))</f>
        <v/>
      </c>
      <c r="L36" s="8">
        <f>IF(OR(D36="",J36=""),"",ABS(J36-D36))</f>
        <v/>
      </c>
    </row>
    <row r="37">
      <c r="A37" s="17" t="n"/>
      <c r="B37" s="8">
        <f>IF(A37="","",IFERROR(INDEX(แผนคลิป!$B:$B,MATCH(A37,แผนคลิป!$A:$A,0)),""))</f>
        <v/>
      </c>
      <c r="C37" s="17" t="n"/>
      <c r="D37" s="17" t="n"/>
      <c r="E37" s="17" t="n"/>
      <c r="F37" s="17" t="n"/>
      <c r="G37" s="17" t="n"/>
      <c r="H37" s="17" t="n"/>
      <c r="I37" s="17" t="n"/>
      <c r="J37" s="17" t="n"/>
      <c r="K37" s="8">
        <f>IF(OR(D37="",H37=""),"",ABS(H37-D37))</f>
        <v/>
      </c>
      <c r="L37" s="8">
        <f>IF(OR(D37="",J37=""),"",ABS(J37-D37))</f>
        <v/>
      </c>
    </row>
    <row r="38">
      <c r="A38" s="17" t="n"/>
      <c r="B38" s="8">
        <f>IF(A38="","",IFERROR(INDEX(แผนคลิป!$B:$B,MATCH(A38,แผนคลิป!$A:$A,0)),""))</f>
        <v/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8">
        <f>IF(OR(D38="",H38=""),"",ABS(H38-D38))</f>
        <v/>
      </c>
      <c r="L38" s="8">
        <f>IF(OR(D38="",J38=""),"",ABS(J38-D38))</f>
        <v/>
      </c>
    </row>
    <row r="39">
      <c r="A39" s="17" t="n"/>
      <c r="B39" s="8">
        <f>IF(A39="","",IFERROR(INDEX(แผนคลิป!$B:$B,MATCH(A39,แผนคลิป!$A:$A,0)),""))</f>
        <v/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8">
        <f>IF(OR(D39="",H39=""),"",ABS(H39-D39))</f>
        <v/>
      </c>
      <c r="L39" s="8">
        <f>IF(OR(D39="",J39=""),"",ABS(J39-D39))</f>
        <v/>
      </c>
    </row>
    <row r="40">
      <c r="A40" s="17" t="n"/>
      <c r="B40" s="8">
        <f>IF(A40="","",IFERROR(INDEX(แผนคลิป!$B:$B,MATCH(A40,แผนคลิป!$A:$A,0)),""))</f>
        <v/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8">
        <f>IF(OR(D40="",H40=""),"",ABS(H40-D40))</f>
        <v/>
      </c>
      <c r="L40" s="8">
        <f>IF(OR(D40="",J40=""),"",ABS(J40-D40))</f>
        <v/>
      </c>
    </row>
    <row r="41">
      <c r="A41" s="17" t="n"/>
      <c r="B41" s="8">
        <f>IF(A41="","",IFERROR(INDEX(แผนคลิป!$B:$B,MATCH(A41,แผนคลิป!$A:$A,0)),""))</f>
        <v/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8">
        <f>IF(OR(D41="",H41=""),"",ABS(H41-D41))</f>
        <v/>
      </c>
      <c r="L41" s="8">
        <f>IF(OR(D41="",J41=""),"",ABS(J41-D41))</f>
        <v/>
      </c>
    </row>
    <row r="42">
      <c r="A42" s="17" t="n"/>
      <c r="B42" s="8">
        <f>IF(A42="","",IFERROR(INDEX(แผนคลิป!$B:$B,MATCH(A42,แผนคลิป!$A:$A,0)),""))</f>
        <v/>
      </c>
      <c r="C42" s="17" t="n"/>
      <c r="D42" s="17" t="n"/>
      <c r="E42" s="17" t="n"/>
      <c r="F42" s="17" t="n"/>
      <c r="G42" s="17" t="n"/>
      <c r="H42" s="17" t="n"/>
      <c r="I42" s="17" t="n"/>
      <c r="J42" s="17" t="n"/>
      <c r="K42" s="8">
        <f>IF(OR(D42="",H42=""),"",ABS(H42-D42))</f>
        <v/>
      </c>
      <c r="L42" s="8">
        <f>IF(OR(D42="",J42=""),"",ABS(J42-D42))</f>
        <v/>
      </c>
    </row>
    <row r="43">
      <c r="A43" s="17" t="n"/>
      <c r="B43" s="8">
        <f>IF(A43="","",IFERROR(INDEX(แผนคลิป!$B:$B,MATCH(A43,แผนคลิป!$A:$A,0)),""))</f>
        <v/>
      </c>
      <c r="C43" s="17" t="n"/>
      <c r="D43" s="17" t="n"/>
      <c r="E43" s="17" t="n"/>
      <c r="F43" s="17" t="n"/>
      <c r="G43" s="17" t="n"/>
      <c r="H43" s="17" t="n"/>
      <c r="I43" s="17" t="n"/>
      <c r="J43" s="17" t="n"/>
      <c r="K43" s="8">
        <f>IF(OR(D43="",H43=""),"",ABS(H43-D43))</f>
        <v/>
      </c>
      <c r="L43" s="8">
        <f>IF(OR(D43="",J43=""),"",ABS(J43-D43))</f>
        <v/>
      </c>
    </row>
    <row r="44">
      <c r="A44" s="17" t="n"/>
      <c r="B44" s="8">
        <f>IF(A44="","",IFERROR(INDEX(แผนคลิป!$B:$B,MATCH(A44,แผนคลิป!$A:$A,0)),""))</f>
        <v/>
      </c>
      <c r="C44" s="17" t="n"/>
      <c r="D44" s="17" t="n"/>
      <c r="E44" s="17" t="n"/>
      <c r="F44" s="17" t="n"/>
      <c r="G44" s="17" t="n"/>
      <c r="H44" s="17" t="n"/>
      <c r="I44" s="17" t="n"/>
      <c r="J44" s="17" t="n"/>
      <c r="K44" s="8">
        <f>IF(OR(D44="",H44=""),"",ABS(H44-D44))</f>
        <v/>
      </c>
      <c r="L44" s="8">
        <f>IF(OR(D44="",J44=""),"",ABS(J44-D44))</f>
        <v/>
      </c>
    </row>
    <row r="45">
      <c r="A45" s="17" t="n"/>
      <c r="B45" s="8">
        <f>IF(A45="","",IFERROR(INDEX(แผนคลิป!$B:$B,MATCH(A45,แผนคลิป!$A:$A,0)),""))</f>
        <v/>
      </c>
      <c r="C45" s="17" t="n"/>
      <c r="D45" s="17" t="n"/>
      <c r="E45" s="17" t="n"/>
      <c r="F45" s="17" t="n"/>
      <c r="G45" s="17" t="n"/>
      <c r="H45" s="17" t="n"/>
      <c r="I45" s="17" t="n"/>
      <c r="J45" s="17" t="n"/>
      <c r="K45" s="8">
        <f>IF(OR(D45="",H45=""),"",ABS(H45-D45))</f>
        <v/>
      </c>
      <c r="L45" s="8">
        <f>IF(OR(D45="",J45=""),"",ABS(J45-D45))</f>
        <v/>
      </c>
    </row>
    <row r="46">
      <c r="A46" s="17" t="n"/>
      <c r="B46" s="8">
        <f>IF(A46="","",IFERROR(INDEX(แผนคลิป!$B:$B,MATCH(A46,แผนคลิป!$A:$A,0)),""))</f>
        <v/>
      </c>
      <c r="C46" s="17" t="n"/>
      <c r="D46" s="17" t="n"/>
      <c r="E46" s="17" t="n"/>
      <c r="F46" s="17" t="n"/>
      <c r="G46" s="17" t="n"/>
      <c r="H46" s="17" t="n"/>
      <c r="I46" s="17" t="n"/>
      <c r="J46" s="17" t="n"/>
      <c r="K46" s="8">
        <f>IF(OR(D46="",H46=""),"",ABS(H46-D46))</f>
        <v/>
      </c>
      <c r="L46" s="8">
        <f>IF(OR(D46="",J46=""),"",ABS(J46-D46))</f>
        <v/>
      </c>
    </row>
    <row r="47">
      <c r="A47" s="17" t="n"/>
      <c r="B47" s="8">
        <f>IF(A47="","",IFERROR(INDEX(แผนคลิป!$B:$B,MATCH(A47,แผนคลิป!$A:$A,0)),""))</f>
        <v/>
      </c>
      <c r="C47" s="17" t="n"/>
      <c r="D47" s="17" t="n"/>
      <c r="E47" s="17" t="n"/>
      <c r="F47" s="17" t="n"/>
      <c r="G47" s="17" t="n"/>
      <c r="H47" s="17" t="n"/>
      <c r="I47" s="17" t="n"/>
      <c r="J47" s="17" t="n"/>
      <c r="K47" s="8">
        <f>IF(OR(D47="",H47=""),"",ABS(H47-D47))</f>
        <v/>
      </c>
      <c r="L47" s="8">
        <f>IF(OR(D47="",J47=""),"",ABS(J47-D47))</f>
        <v/>
      </c>
    </row>
    <row r="48">
      <c r="A48" s="17" t="n"/>
      <c r="B48" s="8">
        <f>IF(A48="","",IFERROR(INDEX(แผนคลิป!$B:$B,MATCH(A48,แผนคลิป!$A:$A,0)),""))</f>
        <v/>
      </c>
      <c r="C48" s="17" t="n"/>
      <c r="D48" s="17" t="n"/>
      <c r="E48" s="17" t="n"/>
      <c r="F48" s="17" t="n"/>
      <c r="G48" s="17" t="n"/>
      <c r="H48" s="17" t="n"/>
      <c r="I48" s="17" t="n"/>
      <c r="J48" s="17" t="n"/>
      <c r="K48" s="8">
        <f>IF(OR(D48="",H48=""),"",ABS(H48-D48))</f>
        <v/>
      </c>
      <c r="L48" s="8">
        <f>IF(OR(D48="",J48=""),"",ABS(J48-D48))</f>
        <v/>
      </c>
    </row>
    <row r="49">
      <c r="A49" s="17" t="n"/>
      <c r="B49" s="8">
        <f>IF(A49="","",IFERROR(INDEX(แผนคลิป!$B:$B,MATCH(A49,แผนคลิป!$A:$A,0)),""))</f>
        <v/>
      </c>
      <c r="C49" s="17" t="n"/>
      <c r="D49" s="17" t="n"/>
      <c r="E49" s="17" t="n"/>
      <c r="F49" s="17" t="n"/>
      <c r="G49" s="17" t="n"/>
      <c r="H49" s="17" t="n"/>
      <c r="I49" s="17" t="n"/>
      <c r="J49" s="17" t="n"/>
      <c r="K49" s="8">
        <f>IF(OR(D49="",H49=""),"",ABS(H49-D49))</f>
        <v/>
      </c>
      <c r="L49" s="8">
        <f>IF(OR(D49="",J49=""),"",ABS(J49-D49))</f>
        <v/>
      </c>
    </row>
    <row r="50">
      <c r="A50" s="17" t="n"/>
      <c r="B50" s="8">
        <f>IF(A50="","",IFERROR(INDEX(แผนคลิป!$B:$B,MATCH(A50,แผนคลิป!$A:$A,0)),""))</f>
        <v/>
      </c>
      <c r="C50" s="17" t="n"/>
      <c r="D50" s="17" t="n"/>
      <c r="E50" s="17" t="n"/>
      <c r="F50" s="17" t="n"/>
      <c r="G50" s="17" t="n"/>
      <c r="H50" s="17" t="n"/>
      <c r="I50" s="17" t="n"/>
      <c r="J50" s="17" t="n"/>
      <c r="K50" s="8">
        <f>IF(OR(D50="",H50=""),"",ABS(H50-D50))</f>
        <v/>
      </c>
      <c r="L50" s="8">
        <f>IF(OR(D50="",J50=""),"",ABS(J50-D50))</f>
        <v/>
      </c>
    </row>
    <row r="51">
      <c r="A51" s="17" t="n"/>
      <c r="B51" s="8">
        <f>IF(A51="","",IFERROR(INDEX(แผนคลิป!$B:$B,MATCH(A51,แผนคลิป!$A:$A,0)),""))</f>
        <v/>
      </c>
      <c r="C51" s="17" t="n"/>
      <c r="D51" s="17" t="n"/>
      <c r="E51" s="17" t="n"/>
      <c r="F51" s="17" t="n"/>
      <c r="G51" s="17" t="n"/>
      <c r="H51" s="17" t="n"/>
      <c r="I51" s="17" t="n"/>
      <c r="J51" s="17" t="n"/>
      <c r="K51" s="8">
        <f>IF(OR(D51="",H51=""),"",ABS(H51-D51))</f>
        <v/>
      </c>
      <c r="L51" s="8">
        <f>IF(OR(D51="",J51=""),"",ABS(J51-D51))</f>
        <v/>
      </c>
    </row>
    <row r="52">
      <c r="A52" s="17" t="n"/>
      <c r="B52" s="8">
        <f>IF(A52="","",IFERROR(INDEX(แผนคลิป!$B:$B,MATCH(A52,แผนคลิป!$A:$A,0)),""))</f>
        <v/>
      </c>
      <c r="C52" s="17" t="n"/>
      <c r="D52" s="17" t="n"/>
      <c r="E52" s="17" t="n"/>
      <c r="F52" s="17" t="n"/>
      <c r="G52" s="17" t="n"/>
      <c r="H52" s="17" t="n"/>
      <c r="I52" s="17" t="n"/>
      <c r="J52" s="17" t="n"/>
      <c r="K52" s="8">
        <f>IF(OR(D52="",H52=""),"",ABS(H52-D52))</f>
        <v/>
      </c>
      <c r="L52" s="8">
        <f>IF(OR(D52="",J52=""),"",ABS(J52-D52))</f>
        <v/>
      </c>
    </row>
    <row r="53">
      <c r="A53" s="17" t="n"/>
      <c r="B53" s="8">
        <f>IF(A53="","",IFERROR(INDEX(แผนคลิป!$B:$B,MATCH(A53,แผนคลิป!$A:$A,0)),""))</f>
        <v/>
      </c>
      <c r="C53" s="17" t="n"/>
      <c r="D53" s="17" t="n"/>
      <c r="E53" s="17" t="n"/>
      <c r="F53" s="17" t="n"/>
      <c r="G53" s="17" t="n"/>
      <c r="H53" s="17" t="n"/>
      <c r="I53" s="17" t="n"/>
      <c r="J53" s="17" t="n"/>
      <c r="K53" s="8">
        <f>IF(OR(D53="",H53=""),"",ABS(H53-D53))</f>
        <v/>
      </c>
      <c r="L53" s="8">
        <f>IF(OR(D53="",J53=""),"",ABS(J53-D53))</f>
        <v/>
      </c>
    </row>
    <row r="54">
      <c r="A54" s="17" t="n"/>
      <c r="B54" s="8">
        <f>IF(A54="","",IFERROR(INDEX(แผนคลิป!$B:$B,MATCH(A54,แผนคลิป!$A:$A,0)),""))</f>
        <v/>
      </c>
      <c r="C54" s="17" t="n"/>
      <c r="D54" s="17" t="n"/>
      <c r="E54" s="17" t="n"/>
      <c r="F54" s="17" t="n"/>
      <c r="G54" s="17" t="n"/>
      <c r="H54" s="17" t="n"/>
      <c r="I54" s="17" t="n"/>
      <c r="J54" s="17" t="n"/>
      <c r="K54" s="8">
        <f>IF(OR(D54="",H54=""),"",ABS(H54-D54))</f>
        <v/>
      </c>
      <c r="L54" s="8">
        <f>IF(OR(D54="",J54=""),"",ABS(J54-D54))</f>
        <v/>
      </c>
    </row>
    <row r="55">
      <c r="A55" s="17" t="n"/>
      <c r="B55" s="8">
        <f>IF(A55="","",IFERROR(INDEX(แผนคลิป!$B:$B,MATCH(A55,แผนคลิป!$A:$A,0)),""))</f>
        <v/>
      </c>
      <c r="C55" s="17" t="n"/>
      <c r="D55" s="17" t="n"/>
      <c r="E55" s="17" t="n"/>
      <c r="F55" s="17" t="n"/>
      <c r="G55" s="17" t="n"/>
      <c r="H55" s="17" t="n"/>
      <c r="I55" s="17" t="n"/>
      <c r="J55" s="17" t="n"/>
      <c r="K55" s="8">
        <f>IF(OR(D55="",H55=""),"",ABS(H55-D55))</f>
        <v/>
      </c>
      <c r="L55" s="8">
        <f>IF(OR(D55="",J55=""),"",ABS(J55-D55))</f>
        <v/>
      </c>
    </row>
    <row r="56">
      <c r="A56" s="17" t="n"/>
      <c r="B56" s="8">
        <f>IF(A56="","",IFERROR(INDEX(แผนคลิป!$B:$B,MATCH(A56,แผนคลิป!$A:$A,0)),""))</f>
        <v/>
      </c>
      <c r="C56" s="17" t="n"/>
      <c r="D56" s="17" t="n"/>
      <c r="E56" s="17" t="n"/>
      <c r="F56" s="17" t="n"/>
      <c r="G56" s="17" t="n"/>
      <c r="H56" s="17" t="n"/>
      <c r="I56" s="17" t="n"/>
      <c r="J56" s="17" t="n"/>
      <c r="K56" s="8">
        <f>IF(OR(D56="",H56=""),"",ABS(H56-D56))</f>
        <v/>
      </c>
      <c r="L56" s="8">
        <f>IF(OR(D56="",J56=""),"",ABS(J56-D56))</f>
        <v/>
      </c>
    </row>
    <row r="57">
      <c r="A57" s="17" t="n"/>
      <c r="B57" s="8">
        <f>IF(A57="","",IFERROR(INDEX(แผนคลิป!$B:$B,MATCH(A57,แผนคลิป!$A:$A,0)),""))</f>
        <v/>
      </c>
      <c r="C57" s="17" t="n"/>
      <c r="D57" s="17" t="n"/>
      <c r="E57" s="17" t="n"/>
      <c r="F57" s="17" t="n"/>
      <c r="G57" s="17" t="n"/>
      <c r="H57" s="17" t="n"/>
      <c r="I57" s="17" t="n"/>
      <c r="J57" s="17" t="n"/>
      <c r="K57" s="8">
        <f>IF(OR(D57="",H57=""),"",ABS(H57-D57))</f>
        <v/>
      </c>
      <c r="L57" s="8">
        <f>IF(OR(D57="",J57=""),"",ABS(J57-D57))</f>
        <v/>
      </c>
    </row>
    <row r="58">
      <c r="A58" s="17" t="n"/>
      <c r="B58" s="8">
        <f>IF(A58="","",IFERROR(INDEX(แผนคลิป!$B:$B,MATCH(A58,แผนคลิป!$A:$A,0)),""))</f>
        <v/>
      </c>
      <c r="C58" s="17" t="n"/>
      <c r="D58" s="17" t="n"/>
      <c r="E58" s="17" t="n"/>
      <c r="F58" s="17" t="n"/>
      <c r="G58" s="17" t="n"/>
      <c r="H58" s="17" t="n"/>
      <c r="I58" s="17" t="n"/>
      <c r="J58" s="17" t="n"/>
      <c r="K58" s="8">
        <f>IF(OR(D58="",H58=""),"",ABS(H58-D58))</f>
        <v/>
      </c>
      <c r="L58" s="8">
        <f>IF(OR(D58="",J58=""),"",ABS(J58-D58))</f>
        <v/>
      </c>
    </row>
    <row r="59">
      <c r="A59" s="17" t="n"/>
      <c r="B59" s="8">
        <f>IF(A59="","",IFERROR(INDEX(แผนคลิป!$B:$B,MATCH(A59,แผนคลิป!$A:$A,0)),""))</f>
        <v/>
      </c>
      <c r="C59" s="17" t="n"/>
      <c r="D59" s="17" t="n"/>
      <c r="E59" s="17" t="n"/>
      <c r="F59" s="17" t="n"/>
      <c r="G59" s="17" t="n"/>
      <c r="H59" s="17" t="n"/>
      <c r="I59" s="17" t="n"/>
      <c r="J59" s="17" t="n"/>
      <c r="K59" s="8">
        <f>IF(OR(D59="",H59=""),"",ABS(H59-D59))</f>
        <v/>
      </c>
      <c r="L59" s="8">
        <f>IF(OR(D59="",J59=""),"",ABS(J59-D59))</f>
        <v/>
      </c>
    </row>
    <row r="60">
      <c r="A60" s="17" t="n"/>
      <c r="B60" s="8">
        <f>IF(A60="","",IFERROR(INDEX(แผนคลิป!$B:$B,MATCH(A60,แผนคลิป!$A:$A,0)),""))</f>
        <v/>
      </c>
      <c r="C60" s="17" t="n"/>
      <c r="D60" s="17" t="n"/>
      <c r="E60" s="17" t="n"/>
      <c r="F60" s="17" t="n"/>
      <c r="G60" s="17" t="n"/>
      <c r="H60" s="17" t="n"/>
      <c r="I60" s="17" t="n"/>
      <c r="J60" s="17" t="n"/>
      <c r="K60" s="8">
        <f>IF(OR(D60="",H60=""),"",ABS(H60-D60))</f>
        <v/>
      </c>
      <c r="L60" s="8">
        <f>IF(OR(D60="",J60=""),"",ABS(J60-D60))</f>
        <v/>
      </c>
    </row>
    <row r="61">
      <c r="A61" s="17" t="n"/>
      <c r="B61" s="8">
        <f>IF(A61="","",IFERROR(INDEX(แผนคลิป!$B:$B,MATCH(A61,แผนคลิป!$A:$A,0)),""))</f>
        <v/>
      </c>
      <c r="C61" s="17" t="n"/>
      <c r="D61" s="17" t="n"/>
      <c r="E61" s="17" t="n"/>
      <c r="F61" s="17" t="n"/>
      <c r="G61" s="17" t="n"/>
      <c r="H61" s="17" t="n"/>
      <c r="I61" s="17" t="n"/>
      <c r="J61" s="17" t="n"/>
      <c r="K61" s="8">
        <f>IF(OR(D61="",H61=""),"",ABS(H61-D61))</f>
        <v/>
      </c>
      <c r="L61" s="8">
        <f>IF(OR(D61="",J61=""),"",ABS(J61-D61))</f>
        <v/>
      </c>
    </row>
    <row r="62">
      <c r="A62" s="17" t="n"/>
      <c r="B62" s="8">
        <f>IF(A62="","",IFERROR(INDEX(แผนคลิป!$B:$B,MATCH(A62,แผนคลิป!$A:$A,0)),""))</f>
        <v/>
      </c>
      <c r="C62" s="17" t="n"/>
      <c r="D62" s="17" t="n"/>
      <c r="E62" s="17" t="n"/>
      <c r="F62" s="17" t="n"/>
      <c r="G62" s="17" t="n"/>
      <c r="H62" s="17" t="n"/>
      <c r="I62" s="17" t="n"/>
      <c r="J62" s="17" t="n"/>
      <c r="K62" s="8">
        <f>IF(OR(D62="",H62=""),"",ABS(H62-D62))</f>
        <v/>
      </c>
      <c r="L62" s="8">
        <f>IF(OR(D62="",J62=""),"",ABS(J62-D62))</f>
        <v/>
      </c>
    </row>
    <row r="63">
      <c r="A63" s="17" t="n"/>
      <c r="B63" s="8">
        <f>IF(A63="","",IFERROR(INDEX(แผนคลิป!$B:$B,MATCH(A63,แผนคลิป!$A:$A,0)),""))</f>
        <v/>
      </c>
      <c r="C63" s="17" t="n"/>
      <c r="D63" s="17" t="n"/>
      <c r="E63" s="17" t="n"/>
      <c r="F63" s="17" t="n"/>
      <c r="G63" s="17" t="n"/>
      <c r="H63" s="17" t="n"/>
      <c r="I63" s="17" t="n"/>
      <c r="J63" s="17" t="n"/>
      <c r="K63" s="8">
        <f>IF(OR(D63="",H63=""),"",ABS(H63-D63))</f>
        <v/>
      </c>
      <c r="L63" s="8">
        <f>IF(OR(D63="",J63=""),"",ABS(J63-D63))</f>
        <v/>
      </c>
    </row>
    <row r="64">
      <c r="A64" s="17" t="n"/>
      <c r="B64" s="8">
        <f>IF(A64="","",IFERROR(INDEX(แผนคลิป!$B:$B,MATCH(A64,แผนคลิป!$A:$A,0)),""))</f>
        <v/>
      </c>
      <c r="C64" s="17" t="n"/>
      <c r="D64" s="17" t="n"/>
      <c r="E64" s="17" t="n"/>
      <c r="F64" s="17" t="n"/>
      <c r="G64" s="17" t="n"/>
      <c r="H64" s="17" t="n"/>
      <c r="I64" s="17" t="n"/>
      <c r="J64" s="17" t="n"/>
      <c r="K64" s="8">
        <f>IF(OR(D64="",H64=""),"",ABS(H64-D64))</f>
        <v/>
      </c>
      <c r="L64" s="8">
        <f>IF(OR(D64="",J64=""),"",ABS(J64-D64))</f>
        <v/>
      </c>
    </row>
    <row r="65">
      <c r="A65" s="17" t="n"/>
      <c r="B65" s="8">
        <f>IF(A65="","",IFERROR(INDEX(แผนคลิป!$B:$B,MATCH(A65,แผนคลิป!$A:$A,0)),""))</f>
        <v/>
      </c>
      <c r="C65" s="17" t="n"/>
      <c r="D65" s="17" t="n"/>
      <c r="E65" s="17" t="n"/>
      <c r="F65" s="17" t="n"/>
      <c r="G65" s="17" t="n"/>
      <c r="H65" s="17" t="n"/>
      <c r="I65" s="17" t="n"/>
      <c r="J65" s="17" t="n"/>
      <c r="K65" s="8">
        <f>IF(OR(D65="",H65=""),"",ABS(H65-D65))</f>
        <v/>
      </c>
      <c r="L65" s="8">
        <f>IF(OR(D65="",J65=""),"",ABS(J65-D65))</f>
        <v/>
      </c>
    </row>
    <row r="66">
      <c r="A66" s="17" t="n"/>
      <c r="B66" s="8">
        <f>IF(A66="","",IFERROR(INDEX(แผนคลิป!$B:$B,MATCH(A66,แผนคลิป!$A:$A,0)),""))</f>
        <v/>
      </c>
      <c r="C66" s="17" t="n"/>
      <c r="D66" s="17" t="n"/>
      <c r="E66" s="17" t="n"/>
      <c r="F66" s="17" t="n"/>
      <c r="G66" s="17" t="n"/>
      <c r="H66" s="17" t="n"/>
      <c r="I66" s="17" t="n"/>
      <c r="J66" s="17" t="n"/>
      <c r="K66" s="8">
        <f>IF(OR(D66="",H66=""),"",ABS(H66-D66))</f>
        <v/>
      </c>
      <c r="L66" s="8">
        <f>IF(OR(D66="",J66=""),"",ABS(J66-D66))</f>
        <v/>
      </c>
    </row>
    <row r="67">
      <c r="A67" s="17" t="n"/>
      <c r="B67" s="8">
        <f>IF(A67="","",IFERROR(INDEX(แผนคลิป!$B:$B,MATCH(A67,แผนคลิป!$A:$A,0)),""))</f>
        <v/>
      </c>
      <c r="C67" s="17" t="n"/>
      <c r="D67" s="17" t="n"/>
      <c r="E67" s="17" t="n"/>
      <c r="F67" s="17" t="n"/>
      <c r="G67" s="17" t="n"/>
      <c r="H67" s="17" t="n"/>
      <c r="I67" s="17" t="n"/>
      <c r="J67" s="17" t="n"/>
      <c r="K67" s="8">
        <f>IF(OR(D67="",H67=""),"",ABS(H67-D67))</f>
        <v/>
      </c>
      <c r="L67" s="8">
        <f>IF(OR(D67="",J67=""),"",ABS(J67-D67))</f>
        <v/>
      </c>
    </row>
    <row r="68">
      <c r="A68" s="17" t="n"/>
      <c r="B68" s="8">
        <f>IF(A68="","",IFERROR(INDEX(แผนคลิป!$B:$B,MATCH(A68,แผนคลิป!$A:$A,0)),""))</f>
        <v/>
      </c>
      <c r="C68" s="17" t="n"/>
      <c r="D68" s="17" t="n"/>
      <c r="E68" s="17" t="n"/>
      <c r="F68" s="17" t="n"/>
      <c r="G68" s="17" t="n"/>
      <c r="H68" s="17" t="n"/>
      <c r="I68" s="17" t="n"/>
      <c r="J68" s="17" t="n"/>
      <c r="K68" s="8">
        <f>IF(OR(D68="",H68=""),"",ABS(H68-D68))</f>
        <v/>
      </c>
      <c r="L68" s="8">
        <f>IF(OR(D68="",J68=""),"",ABS(J68-D68))</f>
        <v/>
      </c>
    </row>
    <row r="69">
      <c r="A69" s="17" t="n"/>
      <c r="B69" s="8">
        <f>IF(A69="","",IFERROR(INDEX(แผนคลิป!$B:$B,MATCH(A69,แผนคลิป!$A:$A,0)),""))</f>
        <v/>
      </c>
      <c r="C69" s="17" t="n"/>
      <c r="D69" s="17" t="n"/>
      <c r="E69" s="17" t="n"/>
      <c r="F69" s="17" t="n"/>
      <c r="G69" s="17" t="n"/>
      <c r="H69" s="17" t="n"/>
      <c r="I69" s="17" t="n"/>
      <c r="J69" s="17" t="n"/>
      <c r="K69" s="8">
        <f>IF(OR(D69="",H69=""),"",ABS(H69-D69))</f>
        <v/>
      </c>
      <c r="L69" s="8">
        <f>IF(OR(D69="",J69=""),"",ABS(J69-D69))</f>
        <v/>
      </c>
    </row>
    <row r="70">
      <c r="A70" s="17" t="n"/>
      <c r="B70" s="8">
        <f>IF(A70="","",IFERROR(INDEX(แผนคลิป!$B:$B,MATCH(A70,แผนคลิป!$A:$A,0)),""))</f>
        <v/>
      </c>
      <c r="C70" s="17" t="n"/>
      <c r="D70" s="17" t="n"/>
      <c r="E70" s="17" t="n"/>
      <c r="F70" s="17" t="n"/>
      <c r="G70" s="17" t="n"/>
      <c r="H70" s="17" t="n"/>
      <c r="I70" s="17" t="n"/>
      <c r="J70" s="17" t="n"/>
      <c r="K70" s="8">
        <f>IF(OR(D70="",H70=""),"",ABS(H70-D70))</f>
        <v/>
      </c>
      <c r="L70" s="8">
        <f>IF(OR(D70="",J70=""),"",ABS(J70-D70))</f>
        <v/>
      </c>
    </row>
    <row r="71">
      <c r="A71" s="17" t="n"/>
      <c r="B71" s="8">
        <f>IF(A71="","",IFERROR(INDEX(แผนคลิป!$B:$B,MATCH(A71,แผนคลิป!$A:$A,0)),""))</f>
        <v/>
      </c>
      <c r="C71" s="17" t="n"/>
      <c r="D71" s="17" t="n"/>
      <c r="E71" s="17" t="n"/>
      <c r="F71" s="17" t="n"/>
      <c r="G71" s="17" t="n"/>
      <c r="H71" s="17" t="n"/>
      <c r="I71" s="17" t="n"/>
      <c r="J71" s="17" t="n"/>
      <c r="K71" s="8">
        <f>IF(OR(D71="",H71=""),"",ABS(H71-D71))</f>
        <v/>
      </c>
      <c r="L71" s="8">
        <f>IF(OR(D71="",J71=""),"",ABS(J71-D71))</f>
        <v/>
      </c>
    </row>
    <row r="72">
      <c r="A72" s="17" t="n"/>
      <c r="B72" s="8">
        <f>IF(A72="","",IFERROR(INDEX(แผนคลิป!$B:$B,MATCH(A72,แผนคลิป!$A:$A,0)),""))</f>
        <v/>
      </c>
      <c r="C72" s="17" t="n"/>
      <c r="D72" s="17" t="n"/>
      <c r="E72" s="17" t="n"/>
      <c r="F72" s="17" t="n"/>
      <c r="G72" s="17" t="n"/>
      <c r="H72" s="17" t="n"/>
      <c r="I72" s="17" t="n"/>
      <c r="J72" s="17" t="n"/>
      <c r="K72" s="8">
        <f>IF(OR(D72="",H72=""),"",ABS(H72-D72))</f>
        <v/>
      </c>
      <c r="L72" s="8">
        <f>IF(OR(D72="",J72=""),"",ABS(J72-D72))</f>
        <v/>
      </c>
    </row>
    <row r="73">
      <c r="A73" s="17" t="n"/>
      <c r="B73" s="8">
        <f>IF(A73="","",IFERROR(INDEX(แผนคลิป!$B:$B,MATCH(A73,แผนคลิป!$A:$A,0)),""))</f>
        <v/>
      </c>
      <c r="C73" s="17" t="n"/>
      <c r="D73" s="17" t="n"/>
      <c r="E73" s="17" t="n"/>
      <c r="F73" s="17" t="n"/>
      <c r="G73" s="17" t="n"/>
      <c r="H73" s="17" t="n"/>
      <c r="I73" s="17" t="n"/>
      <c r="J73" s="17" t="n"/>
      <c r="K73" s="8">
        <f>IF(OR(D73="",H73=""),"",ABS(H73-D73))</f>
        <v/>
      </c>
      <c r="L73" s="8">
        <f>IF(OR(D73="",J73=""),"",ABS(J73-D73))</f>
        <v/>
      </c>
    </row>
    <row r="74">
      <c r="A74" s="17" t="n"/>
      <c r="B74" s="8">
        <f>IF(A74="","",IFERROR(INDEX(แผนคลิป!$B:$B,MATCH(A74,แผนคลิป!$A:$A,0)),""))</f>
        <v/>
      </c>
      <c r="C74" s="17" t="n"/>
      <c r="D74" s="17" t="n"/>
      <c r="E74" s="17" t="n"/>
      <c r="F74" s="17" t="n"/>
      <c r="G74" s="17" t="n"/>
      <c r="H74" s="17" t="n"/>
      <c r="I74" s="17" t="n"/>
      <c r="J74" s="17" t="n"/>
      <c r="K74" s="8">
        <f>IF(OR(D74="",H74=""),"",ABS(H74-D74))</f>
        <v/>
      </c>
      <c r="L74" s="8">
        <f>IF(OR(D74="",J74=""),"",ABS(J74-D74))</f>
        <v/>
      </c>
    </row>
    <row r="75">
      <c r="A75" s="17" t="n"/>
      <c r="B75" s="8">
        <f>IF(A75="","",IFERROR(INDEX(แผนคลิป!$B:$B,MATCH(A75,แผนคลิป!$A:$A,0)),""))</f>
        <v/>
      </c>
      <c r="C75" s="17" t="n"/>
      <c r="D75" s="17" t="n"/>
      <c r="E75" s="17" t="n"/>
      <c r="F75" s="17" t="n"/>
      <c r="G75" s="17" t="n"/>
      <c r="H75" s="17" t="n"/>
      <c r="I75" s="17" t="n"/>
      <c r="J75" s="17" t="n"/>
      <c r="K75" s="8">
        <f>IF(OR(D75="",H75=""),"",ABS(H75-D75))</f>
        <v/>
      </c>
      <c r="L75" s="8">
        <f>IF(OR(D75="",J75=""),"",ABS(J75-D75))</f>
        <v/>
      </c>
    </row>
    <row r="76">
      <c r="A76" s="17" t="n"/>
      <c r="B76" s="8">
        <f>IF(A76="","",IFERROR(INDEX(แผนคลิป!$B:$B,MATCH(A76,แผนคลิป!$A:$A,0)),""))</f>
        <v/>
      </c>
      <c r="C76" s="17" t="n"/>
      <c r="D76" s="17" t="n"/>
      <c r="E76" s="17" t="n"/>
      <c r="F76" s="17" t="n"/>
      <c r="G76" s="17" t="n"/>
      <c r="H76" s="17" t="n"/>
      <c r="I76" s="17" t="n"/>
      <c r="J76" s="17" t="n"/>
      <c r="K76" s="8">
        <f>IF(OR(D76="",H76=""),"",ABS(H76-D76))</f>
        <v/>
      </c>
      <c r="L76" s="8">
        <f>IF(OR(D76="",J76=""),"",ABS(J76-D76))</f>
        <v/>
      </c>
    </row>
    <row r="77">
      <c r="A77" s="17" t="n"/>
      <c r="B77" s="8">
        <f>IF(A77="","",IFERROR(INDEX(แผนคลิป!$B:$B,MATCH(A77,แผนคลิป!$A:$A,0)),""))</f>
        <v/>
      </c>
      <c r="C77" s="17" t="n"/>
      <c r="D77" s="17" t="n"/>
      <c r="E77" s="17" t="n"/>
      <c r="F77" s="17" t="n"/>
      <c r="G77" s="17" t="n"/>
      <c r="H77" s="17" t="n"/>
      <c r="I77" s="17" t="n"/>
      <c r="J77" s="17" t="n"/>
      <c r="K77" s="8">
        <f>IF(OR(D77="",H77=""),"",ABS(H77-D77))</f>
        <v/>
      </c>
      <c r="L77" s="8">
        <f>IF(OR(D77="",J77=""),"",ABS(J77-D77))</f>
        <v/>
      </c>
    </row>
    <row r="78">
      <c r="A78" s="17" t="n"/>
      <c r="B78" s="8">
        <f>IF(A78="","",IFERROR(INDEX(แผนคลิป!$B:$B,MATCH(A78,แผนคลิป!$A:$A,0)),""))</f>
        <v/>
      </c>
      <c r="C78" s="17" t="n"/>
      <c r="D78" s="17" t="n"/>
      <c r="E78" s="17" t="n"/>
      <c r="F78" s="17" t="n"/>
      <c r="G78" s="17" t="n"/>
      <c r="H78" s="17" t="n"/>
      <c r="I78" s="17" t="n"/>
      <c r="J78" s="17" t="n"/>
      <c r="K78" s="8">
        <f>IF(OR(D78="",H78=""),"",ABS(H78-D78))</f>
        <v/>
      </c>
      <c r="L78" s="8">
        <f>IF(OR(D78="",J78=""),"",ABS(J78-D78))</f>
        <v/>
      </c>
    </row>
    <row r="79">
      <c r="A79" s="17" t="n"/>
      <c r="B79" s="8">
        <f>IF(A79="","",IFERROR(INDEX(แผนคลิป!$B:$B,MATCH(A79,แผนคลิป!$A:$A,0)),""))</f>
        <v/>
      </c>
      <c r="C79" s="17" t="n"/>
      <c r="D79" s="17" t="n"/>
      <c r="E79" s="17" t="n"/>
      <c r="F79" s="17" t="n"/>
      <c r="G79" s="17" t="n"/>
      <c r="H79" s="17" t="n"/>
      <c r="I79" s="17" t="n"/>
      <c r="J79" s="17" t="n"/>
      <c r="K79" s="8">
        <f>IF(OR(D79="",H79=""),"",ABS(H79-D79))</f>
        <v/>
      </c>
      <c r="L79" s="8">
        <f>IF(OR(D79="",J79=""),"",ABS(J79-D79))</f>
        <v/>
      </c>
    </row>
    <row r="80">
      <c r="A80" s="17" t="n"/>
      <c r="B80" s="8">
        <f>IF(A80="","",IFERROR(INDEX(แผนคลิป!$B:$B,MATCH(A80,แผนคลิป!$A:$A,0)),""))</f>
        <v/>
      </c>
      <c r="C80" s="17" t="n"/>
      <c r="D80" s="17" t="n"/>
      <c r="E80" s="17" t="n"/>
      <c r="F80" s="17" t="n"/>
      <c r="G80" s="17" t="n"/>
      <c r="H80" s="17" t="n"/>
      <c r="I80" s="17" t="n"/>
      <c r="J80" s="17" t="n"/>
      <c r="K80" s="8">
        <f>IF(OR(D80="",H80=""),"",ABS(H80-D80))</f>
        <v/>
      </c>
      <c r="L80" s="8">
        <f>IF(OR(D80="",J80=""),"",ABS(J80-D80))</f>
        <v/>
      </c>
    </row>
    <row r="81">
      <c r="A81" s="17" t="n"/>
      <c r="B81" s="8">
        <f>IF(A81="","",IFERROR(INDEX(แผนคลิป!$B:$B,MATCH(A81,แผนคลิป!$A:$A,0)),""))</f>
        <v/>
      </c>
      <c r="C81" s="17" t="n"/>
      <c r="D81" s="17" t="n"/>
      <c r="E81" s="17" t="n"/>
      <c r="F81" s="17" t="n"/>
      <c r="G81" s="17" t="n"/>
      <c r="H81" s="17" t="n"/>
      <c r="I81" s="17" t="n"/>
      <c r="J81" s="17" t="n"/>
      <c r="K81" s="8">
        <f>IF(OR(D81="",H81=""),"",ABS(H81-D81))</f>
        <v/>
      </c>
      <c r="L81" s="8">
        <f>IF(OR(D81="",J81=""),"",ABS(J81-D81))</f>
        <v/>
      </c>
    </row>
    <row r="82">
      <c r="A82" s="17" t="n"/>
      <c r="B82" s="8">
        <f>IF(A82="","",IFERROR(INDEX(แผนคลิป!$B:$B,MATCH(A82,แผนคลิป!$A:$A,0)),""))</f>
        <v/>
      </c>
      <c r="C82" s="17" t="n"/>
      <c r="D82" s="17" t="n"/>
      <c r="E82" s="17" t="n"/>
      <c r="F82" s="17" t="n"/>
      <c r="G82" s="17" t="n"/>
      <c r="H82" s="17" t="n"/>
      <c r="I82" s="17" t="n"/>
      <c r="J82" s="17" t="n"/>
      <c r="K82" s="8">
        <f>IF(OR(D82="",H82=""),"",ABS(H82-D82))</f>
        <v/>
      </c>
      <c r="L82" s="8">
        <f>IF(OR(D82="",J82=""),"",ABS(J82-D82))</f>
        <v/>
      </c>
    </row>
    <row r="83">
      <c r="A83" s="17" t="n"/>
      <c r="B83" s="8">
        <f>IF(A83="","",IFERROR(INDEX(แผนคลิป!$B:$B,MATCH(A83,แผนคลิป!$A:$A,0)),""))</f>
        <v/>
      </c>
      <c r="C83" s="17" t="n"/>
      <c r="D83" s="17" t="n"/>
      <c r="E83" s="17" t="n"/>
      <c r="F83" s="17" t="n"/>
      <c r="G83" s="17" t="n"/>
      <c r="H83" s="17" t="n"/>
      <c r="I83" s="17" t="n"/>
      <c r="J83" s="17" t="n"/>
      <c r="K83" s="8">
        <f>IF(OR(D83="",H83=""),"",ABS(H83-D83))</f>
        <v/>
      </c>
      <c r="L83" s="8">
        <f>IF(OR(D83="",J83=""),"",ABS(J83-D83))</f>
        <v/>
      </c>
    </row>
    <row r="84">
      <c r="A84" s="17" t="n"/>
      <c r="B84" s="8">
        <f>IF(A84="","",IFERROR(INDEX(แผนคลิป!$B:$B,MATCH(A84,แผนคลิป!$A:$A,0)),""))</f>
        <v/>
      </c>
      <c r="C84" s="17" t="n"/>
      <c r="D84" s="17" t="n"/>
      <c r="E84" s="17" t="n"/>
      <c r="F84" s="17" t="n"/>
      <c r="G84" s="17" t="n"/>
      <c r="H84" s="17" t="n"/>
      <c r="I84" s="17" t="n"/>
      <c r="J84" s="17" t="n"/>
      <c r="K84" s="8">
        <f>IF(OR(D84="",H84=""),"",ABS(H84-D84))</f>
        <v/>
      </c>
      <c r="L84" s="8">
        <f>IF(OR(D84="",J84=""),"",ABS(J84-D84))</f>
        <v/>
      </c>
    </row>
    <row r="85">
      <c r="A85" s="17" t="n"/>
      <c r="B85" s="8">
        <f>IF(A85="","",IFERROR(INDEX(แผนคลิป!$B:$B,MATCH(A85,แผนคลิป!$A:$A,0)),""))</f>
        <v/>
      </c>
      <c r="C85" s="17" t="n"/>
      <c r="D85" s="17" t="n"/>
      <c r="E85" s="17" t="n"/>
      <c r="F85" s="17" t="n"/>
      <c r="G85" s="17" t="n"/>
      <c r="H85" s="17" t="n"/>
      <c r="I85" s="17" t="n"/>
      <c r="J85" s="17" t="n"/>
      <c r="K85" s="8">
        <f>IF(OR(D85="",H85=""),"",ABS(H85-D85))</f>
        <v/>
      </c>
      <c r="L85" s="8">
        <f>IF(OR(D85="",J85=""),"",ABS(J85-D85))</f>
        <v/>
      </c>
    </row>
    <row r="86">
      <c r="A86" s="17" t="n"/>
      <c r="B86" s="8">
        <f>IF(A86="","",IFERROR(INDEX(แผนคลิป!$B:$B,MATCH(A86,แผนคลิป!$A:$A,0)),""))</f>
        <v/>
      </c>
      <c r="C86" s="17" t="n"/>
      <c r="D86" s="17" t="n"/>
      <c r="E86" s="17" t="n"/>
      <c r="F86" s="17" t="n"/>
      <c r="G86" s="17" t="n"/>
      <c r="H86" s="17" t="n"/>
      <c r="I86" s="17" t="n"/>
      <c r="J86" s="17" t="n"/>
      <c r="K86" s="8">
        <f>IF(OR(D86="",H86=""),"",ABS(H86-D86))</f>
        <v/>
      </c>
      <c r="L86" s="8">
        <f>IF(OR(D86="",J86=""),"",ABS(J86-D86))</f>
        <v/>
      </c>
    </row>
    <row r="87">
      <c r="A87" s="17" t="n"/>
      <c r="B87" s="8">
        <f>IF(A87="","",IFERROR(INDEX(แผนคลิป!$B:$B,MATCH(A87,แผนคลิป!$A:$A,0)),""))</f>
        <v/>
      </c>
      <c r="C87" s="17" t="n"/>
      <c r="D87" s="17" t="n"/>
      <c r="E87" s="17" t="n"/>
      <c r="F87" s="17" t="n"/>
      <c r="G87" s="17" t="n"/>
      <c r="H87" s="17" t="n"/>
      <c r="I87" s="17" t="n"/>
      <c r="J87" s="17" t="n"/>
      <c r="K87" s="8">
        <f>IF(OR(D87="",H87=""),"",ABS(H87-D87))</f>
        <v/>
      </c>
      <c r="L87" s="8">
        <f>IF(OR(D87="",J87=""),"",ABS(J87-D87))</f>
        <v/>
      </c>
    </row>
    <row r="88">
      <c r="A88" s="17" t="n"/>
      <c r="B88" s="8">
        <f>IF(A88="","",IFERROR(INDEX(แผนคลิป!$B:$B,MATCH(A88,แผนคลิป!$A:$A,0)),""))</f>
        <v/>
      </c>
      <c r="C88" s="17" t="n"/>
      <c r="D88" s="17" t="n"/>
      <c r="E88" s="17" t="n"/>
      <c r="F88" s="17" t="n"/>
      <c r="G88" s="17" t="n"/>
      <c r="H88" s="17" t="n"/>
      <c r="I88" s="17" t="n"/>
      <c r="J88" s="17" t="n"/>
      <c r="K88" s="8">
        <f>IF(OR(D88="",H88=""),"",ABS(H88-D88))</f>
        <v/>
      </c>
      <c r="L88" s="8">
        <f>IF(OR(D88="",J88=""),"",ABS(J88-D88))</f>
        <v/>
      </c>
    </row>
    <row r="89">
      <c r="A89" s="17" t="n"/>
      <c r="B89" s="8">
        <f>IF(A89="","",IFERROR(INDEX(แผนคลิป!$B:$B,MATCH(A89,แผนคลิป!$A:$A,0)),""))</f>
        <v/>
      </c>
      <c r="C89" s="17" t="n"/>
      <c r="D89" s="17" t="n"/>
      <c r="E89" s="17" t="n"/>
      <c r="F89" s="17" t="n"/>
      <c r="G89" s="17" t="n"/>
      <c r="H89" s="17" t="n"/>
      <c r="I89" s="17" t="n"/>
      <c r="J89" s="17" t="n"/>
      <c r="K89" s="8">
        <f>IF(OR(D89="",H89=""),"",ABS(H89-D89))</f>
        <v/>
      </c>
      <c r="L89" s="8">
        <f>IF(OR(D89="",J89=""),"",ABS(J89-D89))</f>
        <v/>
      </c>
    </row>
    <row r="90">
      <c r="A90" s="17" t="n"/>
      <c r="B90" s="8">
        <f>IF(A90="","",IFERROR(INDEX(แผนคลิป!$B:$B,MATCH(A90,แผนคลิป!$A:$A,0)),""))</f>
        <v/>
      </c>
      <c r="C90" s="17" t="n"/>
      <c r="D90" s="17" t="n"/>
      <c r="E90" s="17" t="n"/>
      <c r="F90" s="17" t="n"/>
      <c r="G90" s="17" t="n"/>
      <c r="H90" s="17" t="n"/>
      <c r="I90" s="17" t="n"/>
      <c r="J90" s="17" t="n"/>
      <c r="K90" s="8">
        <f>IF(OR(D90="",H90=""),"",ABS(H90-D90))</f>
        <v/>
      </c>
      <c r="L90" s="8">
        <f>IF(OR(D90="",J90=""),"",ABS(J90-D90))</f>
        <v/>
      </c>
    </row>
    <row r="91">
      <c r="A91" s="17" t="n"/>
      <c r="B91" s="8">
        <f>IF(A91="","",IFERROR(INDEX(แผนคลิป!$B:$B,MATCH(A91,แผนคลิป!$A:$A,0)),""))</f>
        <v/>
      </c>
      <c r="C91" s="17" t="n"/>
      <c r="D91" s="17" t="n"/>
      <c r="E91" s="17" t="n"/>
      <c r="F91" s="17" t="n"/>
      <c r="G91" s="17" t="n"/>
      <c r="H91" s="17" t="n"/>
      <c r="I91" s="17" t="n"/>
      <c r="J91" s="17" t="n"/>
      <c r="K91" s="8">
        <f>IF(OR(D91="",H91=""),"",ABS(H91-D91))</f>
        <v/>
      </c>
      <c r="L91" s="8">
        <f>IF(OR(D91="",J91=""),"",ABS(J91-D91))</f>
        <v/>
      </c>
    </row>
    <row r="92">
      <c r="A92" s="17" t="n"/>
      <c r="B92" s="8">
        <f>IF(A92="","",IFERROR(INDEX(แผนคลิป!$B:$B,MATCH(A92,แผนคลิป!$A:$A,0)),""))</f>
        <v/>
      </c>
      <c r="C92" s="17" t="n"/>
      <c r="D92" s="17" t="n"/>
      <c r="E92" s="17" t="n"/>
      <c r="F92" s="17" t="n"/>
      <c r="G92" s="17" t="n"/>
      <c r="H92" s="17" t="n"/>
      <c r="I92" s="17" t="n"/>
      <c r="J92" s="17" t="n"/>
      <c r="K92" s="8">
        <f>IF(OR(D92="",H92=""),"",ABS(H92-D92))</f>
        <v/>
      </c>
      <c r="L92" s="8">
        <f>IF(OR(D92="",J92=""),"",ABS(J92-D92))</f>
        <v/>
      </c>
    </row>
    <row r="93">
      <c r="A93" s="17" t="n"/>
      <c r="B93" s="8">
        <f>IF(A93="","",IFERROR(INDEX(แผนคลิป!$B:$B,MATCH(A93,แผนคลิป!$A:$A,0)),""))</f>
        <v/>
      </c>
      <c r="C93" s="17" t="n"/>
      <c r="D93" s="17" t="n"/>
      <c r="E93" s="17" t="n"/>
      <c r="F93" s="17" t="n"/>
      <c r="G93" s="17" t="n"/>
      <c r="H93" s="17" t="n"/>
      <c r="I93" s="17" t="n"/>
      <c r="J93" s="17" t="n"/>
      <c r="K93" s="8">
        <f>IF(OR(D93="",H93=""),"",ABS(H93-D93))</f>
        <v/>
      </c>
      <c r="L93" s="8">
        <f>IF(OR(D93="",J93=""),"",ABS(J93-D93))</f>
        <v/>
      </c>
    </row>
    <row r="94">
      <c r="A94" s="17" t="n"/>
      <c r="B94" s="8">
        <f>IF(A94="","",IFERROR(INDEX(แผนคลิป!$B:$B,MATCH(A94,แผนคลิป!$A:$A,0)),""))</f>
        <v/>
      </c>
      <c r="C94" s="17" t="n"/>
      <c r="D94" s="17" t="n"/>
      <c r="E94" s="17" t="n"/>
      <c r="F94" s="17" t="n"/>
      <c r="G94" s="17" t="n"/>
      <c r="H94" s="17" t="n"/>
      <c r="I94" s="17" t="n"/>
      <c r="J94" s="17" t="n"/>
      <c r="K94" s="8">
        <f>IF(OR(D94="",H94=""),"",ABS(H94-D94))</f>
        <v/>
      </c>
      <c r="L94" s="8">
        <f>IF(OR(D94="",J94=""),"",ABS(J94-D94))</f>
        <v/>
      </c>
    </row>
    <row r="95">
      <c r="A95" s="17" t="n"/>
      <c r="B95" s="8">
        <f>IF(A95="","",IFERROR(INDEX(แผนคลิป!$B:$B,MATCH(A95,แผนคลิป!$A:$A,0)),""))</f>
        <v/>
      </c>
      <c r="C95" s="17" t="n"/>
      <c r="D95" s="17" t="n"/>
      <c r="E95" s="17" t="n"/>
      <c r="F95" s="17" t="n"/>
      <c r="G95" s="17" t="n"/>
      <c r="H95" s="17" t="n"/>
      <c r="I95" s="17" t="n"/>
      <c r="J95" s="17" t="n"/>
      <c r="K95" s="8">
        <f>IF(OR(D95="",H95=""),"",ABS(H95-D95))</f>
        <v/>
      </c>
      <c r="L95" s="8">
        <f>IF(OR(D95="",J95=""),"",ABS(J95-D95))</f>
        <v/>
      </c>
    </row>
    <row r="96">
      <c r="A96" s="17" t="n"/>
      <c r="B96" s="8">
        <f>IF(A96="","",IFERROR(INDEX(แผนคลิป!$B:$B,MATCH(A96,แผนคลิป!$A:$A,0)),""))</f>
        <v/>
      </c>
      <c r="C96" s="17" t="n"/>
      <c r="D96" s="17" t="n"/>
      <c r="E96" s="17" t="n"/>
      <c r="F96" s="17" t="n"/>
      <c r="G96" s="17" t="n"/>
      <c r="H96" s="17" t="n"/>
      <c r="I96" s="17" t="n"/>
      <c r="J96" s="17" t="n"/>
      <c r="K96" s="8">
        <f>IF(OR(D96="",H96=""),"",ABS(H96-D96))</f>
        <v/>
      </c>
      <c r="L96" s="8">
        <f>IF(OR(D96="",J96=""),"",ABS(J96-D96))</f>
        <v/>
      </c>
    </row>
    <row r="97">
      <c r="A97" s="17" t="n"/>
      <c r="B97" s="8">
        <f>IF(A97="","",IFERROR(INDEX(แผนคลิป!$B:$B,MATCH(A97,แผนคลิป!$A:$A,0)),""))</f>
        <v/>
      </c>
      <c r="C97" s="17" t="n"/>
      <c r="D97" s="17" t="n"/>
      <c r="E97" s="17" t="n"/>
      <c r="F97" s="17" t="n"/>
      <c r="G97" s="17" t="n"/>
      <c r="H97" s="17" t="n"/>
      <c r="I97" s="17" t="n"/>
      <c r="J97" s="17" t="n"/>
      <c r="K97" s="8">
        <f>IF(OR(D97="",H97=""),"",ABS(H97-D97))</f>
        <v/>
      </c>
      <c r="L97" s="8">
        <f>IF(OR(D97="",J97=""),"",ABS(J97-D97))</f>
        <v/>
      </c>
    </row>
    <row r="98">
      <c r="A98" s="17" t="n"/>
      <c r="B98" s="8">
        <f>IF(A98="","",IFERROR(INDEX(แผนคลิป!$B:$B,MATCH(A98,แผนคลิป!$A:$A,0)),""))</f>
        <v/>
      </c>
      <c r="C98" s="17" t="n"/>
      <c r="D98" s="17" t="n"/>
      <c r="E98" s="17" t="n"/>
      <c r="F98" s="17" t="n"/>
      <c r="G98" s="17" t="n"/>
      <c r="H98" s="17" t="n"/>
      <c r="I98" s="17" t="n"/>
      <c r="J98" s="17" t="n"/>
      <c r="K98" s="8">
        <f>IF(OR(D98="",H98=""),"",ABS(H98-D98))</f>
        <v/>
      </c>
      <c r="L98" s="8">
        <f>IF(OR(D98="",J98=""),"",ABS(J98-D98))</f>
        <v/>
      </c>
    </row>
    <row r="99">
      <c r="A99" s="17" t="n"/>
      <c r="B99" s="8">
        <f>IF(A99="","",IFERROR(INDEX(แผนคลิป!$B:$B,MATCH(A99,แผนคลิป!$A:$A,0)),""))</f>
        <v/>
      </c>
      <c r="C99" s="17" t="n"/>
      <c r="D99" s="17" t="n"/>
      <c r="E99" s="17" t="n"/>
      <c r="F99" s="17" t="n"/>
      <c r="G99" s="17" t="n"/>
      <c r="H99" s="17" t="n"/>
      <c r="I99" s="17" t="n"/>
      <c r="J99" s="17" t="n"/>
      <c r="K99" s="8">
        <f>IF(OR(D99="",H99=""),"",ABS(H99-D99))</f>
        <v/>
      </c>
      <c r="L99" s="8">
        <f>IF(OR(D99="",J99=""),"",ABS(J99-D99))</f>
        <v/>
      </c>
    </row>
    <row r="100">
      <c r="A100" s="17" t="n"/>
      <c r="B100" s="8">
        <f>IF(A100="","",IFERROR(INDEX(แผนคลิป!$B:$B,MATCH(A100,แผนคลิป!$A:$A,0)),""))</f>
        <v/>
      </c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8">
        <f>IF(OR(D100="",H100=""),"",ABS(H100-D100))</f>
        <v/>
      </c>
      <c r="L100" s="8">
        <f>IF(OR(D100="",J100=""),"",ABS(J100-D100))</f>
        <v/>
      </c>
    </row>
    <row r="101">
      <c r="A101" s="17" t="n"/>
      <c r="B101" s="8">
        <f>IF(A101="","",IFERROR(INDEX(แผนคลิป!$B:$B,MATCH(A101,แผนคลิป!$A:$A,0)),""))</f>
        <v/>
      </c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8">
        <f>IF(OR(D101="",H101=""),"",ABS(H101-D101))</f>
        <v/>
      </c>
      <c r="L101" s="8">
        <f>IF(OR(D101="",J101=""),"",ABS(J101-D101))</f>
        <v/>
      </c>
    </row>
    <row r="102">
      <c r="A102" s="17" t="n"/>
      <c r="B102" s="8">
        <f>IF(A102="","",IFERROR(INDEX(แผนคลิป!$B:$B,MATCH(A102,แผนคลิป!$A:$A,0)),""))</f>
        <v/>
      </c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8">
        <f>IF(OR(D102="",H102=""),"",ABS(H102-D102))</f>
        <v/>
      </c>
      <c r="L102" s="8">
        <f>IF(OR(D102="",J102=""),"",ABS(J102-D102))</f>
        <v/>
      </c>
    </row>
    <row r="103">
      <c r="A103" s="17" t="n"/>
      <c r="B103" s="8">
        <f>IF(A103="","",IFERROR(INDEX(แผนคลิป!$B:$B,MATCH(A103,แผนคลิป!$A:$A,0)),""))</f>
        <v/>
      </c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8">
        <f>IF(OR(D103="",H103=""),"",ABS(H103-D103))</f>
        <v/>
      </c>
      <c r="L103" s="8">
        <f>IF(OR(D103="",J103=""),"",ABS(J103-D103))</f>
        <v/>
      </c>
    </row>
    <row r="104">
      <c r="A104" s="17" t="n"/>
      <c r="B104" s="8">
        <f>IF(A104="","",IFERROR(INDEX(แผนคลิป!$B:$B,MATCH(A104,แผนคลิป!$A:$A,0)),""))</f>
        <v/>
      </c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8">
        <f>IF(OR(D104="",H104=""),"",ABS(H104-D104))</f>
        <v/>
      </c>
      <c r="L104" s="8">
        <f>IF(OR(D104="",J104=""),"",ABS(J104-D104))</f>
        <v/>
      </c>
    </row>
    <row r="105">
      <c r="A105" s="17" t="n"/>
      <c r="B105" s="8">
        <f>IF(A105="","",IFERROR(INDEX(แผนคลิป!$B:$B,MATCH(A105,แผนคลิป!$A:$A,0)),""))</f>
        <v/>
      </c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8">
        <f>IF(OR(D105="",H105=""),"",ABS(H105-D105))</f>
        <v/>
      </c>
      <c r="L105" s="8">
        <f>IF(OR(D105="",J105=""),"",ABS(J105-D105))</f>
        <v/>
      </c>
    </row>
    <row r="106">
      <c r="A106" s="17" t="n"/>
      <c r="B106" s="8">
        <f>IF(A106="","",IFERROR(INDEX(แผนคลิป!$B:$B,MATCH(A106,แผนคลิป!$A:$A,0)),""))</f>
        <v/>
      </c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8">
        <f>IF(OR(D106="",H106=""),"",ABS(H106-D106))</f>
        <v/>
      </c>
      <c r="L106" s="8">
        <f>IF(OR(D106="",J106=""),"",ABS(J106-D106))</f>
        <v/>
      </c>
    </row>
    <row r="107">
      <c r="A107" s="17" t="n"/>
      <c r="B107" s="8">
        <f>IF(A107="","",IFERROR(INDEX(แผนคลิป!$B:$B,MATCH(A107,แผนคลิป!$A:$A,0)),""))</f>
        <v/>
      </c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8">
        <f>IF(OR(D107="",H107=""),"",ABS(H107-D107))</f>
        <v/>
      </c>
      <c r="L107" s="8">
        <f>IF(OR(D107="",J107=""),"",ABS(J107-D107))</f>
        <v/>
      </c>
    </row>
    <row r="108">
      <c r="A108" s="17" t="n"/>
      <c r="B108" s="8">
        <f>IF(A108="","",IFERROR(INDEX(แผนคลิป!$B:$B,MATCH(A108,แผนคลิป!$A:$A,0)),""))</f>
        <v/>
      </c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8">
        <f>IF(OR(D108="",H108=""),"",ABS(H108-D108))</f>
        <v/>
      </c>
      <c r="L108" s="8">
        <f>IF(OR(D108="",J108=""),"",ABS(J108-D108))</f>
        <v/>
      </c>
    </row>
    <row r="109">
      <c r="A109" s="17" t="n"/>
      <c r="B109" s="8">
        <f>IF(A109="","",IFERROR(INDEX(แผนคลิป!$B:$B,MATCH(A109,แผนคลิป!$A:$A,0)),""))</f>
        <v/>
      </c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8">
        <f>IF(OR(D109="",H109=""),"",ABS(H109-D109))</f>
        <v/>
      </c>
      <c r="L109" s="8">
        <f>IF(OR(D109="",J109=""),"",ABS(J109-D109))</f>
        <v/>
      </c>
    </row>
    <row r="110">
      <c r="A110" s="17" t="n"/>
      <c r="B110" s="8">
        <f>IF(A110="","",IFERROR(INDEX(แผนคลิป!$B:$B,MATCH(A110,แผนคลิป!$A:$A,0)),""))</f>
        <v/>
      </c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8">
        <f>IF(OR(D110="",H110=""),"",ABS(H110-D110))</f>
        <v/>
      </c>
      <c r="L110" s="8">
        <f>IF(OR(D110="",J110=""),"",ABS(J110-D110))</f>
        <v/>
      </c>
    </row>
    <row r="111">
      <c r="A111" s="17" t="n"/>
      <c r="B111" s="8">
        <f>IF(A111="","",IFERROR(INDEX(แผนคลิป!$B:$B,MATCH(A111,แผนคลิป!$A:$A,0)),""))</f>
        <v/>
      </c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8">
        <f>IF(OR(D111="",H111=""),"",ABS(H111-D111))</f>
        <v/>
      </c>
      <c r="L111" s="8">
        <f>IF(OR(D111="",J111=""),"",ABS(J111-D111))</f>
        <v/>
      </c>
    </row>
    <row r="112">
      <c r="A112" s="17" t="n"/>
      <c r="B112" s="8">
        <f>IF(A112="","",IFERROR(INDEX(แผนคลิป!$B:$B,MATCH(A112,แผนคลิป!$A:$A,0)),""))</f>
        <v/>
      </c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8">
        <f>IF(OR(D112="",H112=""),"",ABS(H112-D112))</f>
        <v/>
      </c>
      <c r="L112" s="8">
        <f>IF(OR(D112="",J112=""),"",ABS(J112-D112))</f>
        <v/>
      </c>
    </row>
    <row r="113">
      <c r="A113" s="17" t="n"/>
      <c r="B113" s="8">
        <f>IF(A113="","",IFERROR(INDEX(แผนคลิป!$B:$B,MATCH(A113,แผนคลิป!$A:$A,0)),""))</f>
        <v/>
      </c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8">
        <f>IF(OR(D113="",H113=""),"",ABS(H113-D113))</f>
        <v/>
      </c>
      <c r="L113" s="8">
        <f>IF(OR(D113="",J113=""),"",ABS(J113-D113))</f>
        <v/>
      </c>
    </row>
    <row r="114">
      <c r="A114" s="17" t="n"/>
      <c r="B114" s="8">
        <f>IF(A114="","",IFERROR(INDEX(แผนคลิป!$B:$B,MATCH(A114,แผนคลิป!$A:$A,0)),""))</f>
        <v/>
      </c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8">
        <f>IF(OR(D114="",H114=""),"",ABS(H114-D114))</f>
        <v/>
      </c>
      <c r="L114" s="8">
        <f>IF(OR(D114="",J114=""),"",ABS(J114-D114))</f>
        <v/>
      </c>
    </row>
    <row r="115">
      <c r="A115" s="17" t="n"/>
      <c r="B115" s="8">
        <f>IF(A115="","",IFERROR(INDEX(แผนคลิป!$B:$B,MATCH(A115,แผนคลิป!$A:$A,0)),""))</f>
        <v/>
      </c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8">
        <f>IF(OR(D115="",H115=""),"",ABS(H115-D115))</f>
        <v/>
      </c>
      <c r="L115" s="8">
        <f>IF(OR(D115="",J115=""),"",ABS(J115-D115))</f>
        <v/>
      </c>
    </row>
    <row r="116">
      <c r="A116" s="17" t="n"/>
      <c r="B116" s="8">
        <f>IF(A116="","",IFERROR(INDEX(แผนคลิป!$B:$B,MATCH(A116,แผนคลิป!$A:$A,0)),""))</f>
        <v/>
      </c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8">
        <f>IF(OR(D116="",H116=""),"",ABS(H116-D116))</f>
        <v/>
      </c>
      <c r="L116" s="8">
        <f>IF(OR(D116="",J116=""),"",ABS(J116-D116))</f>
        <v/>
      </c>
    </row>
    <row r="117">
      <c r="A117" s="17" t="n"/>
      <c r="B117" s="8">
        <f>IF(A117="","",IFERROR(INDEX(แผนคลิป!$B:$B,MATCH(A117,แผนคลิป!$A:$A,0)),""))</f>
        <v/>
      </c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8">
        <f>IF(OR(D117="",H117=""),"",ABS(H117-D117))</f>
        <v/>
      </c>
      <c r="L117" s="8">
        <f>IF(OR(D117="",J117=""),"",ABS(J117-D117))</f>
        <v/>
      </c>
    </row>
    <row r="118">
      <c r="A118" s="17" t="n"/>
      <c r="B118" s="8">
        <f>IF(A118="","",IFERROR(INDEX(แผนคลิป!$B:$B,MATCH(A118,แผนคลิป!$A:$A,0)),""))</f>
        <v/>
      </c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8">
        <f>IF(OR(D118="",H118=""),"",ABS(H118-D118))</f>
        <v/>
      </c>
      <c r="L118" s="8">
        <f>IF(OR(D118="",J118=""),"",ABS(J118-D118))</f>
        <v/>
      </c>
    </row>
    <row r="119">
      <c r="A119" s="17" t="n"/>
      <c r="B119" s="8">
        <f>IF(A119="","",IFERROR(INDEX(แผนคลิป!$B:$B,MATCH(A119,แผนคลิป!$A:$A,0)),""))</f>
        <v/>
      </c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8">
        <f>IF(OR(D119="",H119=""),"",ABS(H119-D119))</f>
        <v/>
      </c>
      <c r="L119" s="8">
        <f>IF(OR(D119="",J119=""),"",ABS(J119-D119))</f>
        <v/>
      </c>
    </row>
    <row r="120">
      <c r="A120" s="17" t="n"/>
      <c r="B120" s="8">
        <f>IF(A120="","",IFERROR(INDEX(แผนคลิป!$B:$B,MATCH(A120,แผนคลิป!$A:$A,0)),""))</f>
        <v/>
      </c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8">
        <f>IF(OR(D120="",H120=""),"",ABS(H120-D120))</f>
        <v/>
      </c>
      <c r="L120" s="8">
        <f>IF(OR(D120="",J120=""),"",ABS(J120-D120))</f>
        <v/>
      </c>
    </row>
    <row r="121">
      <c r="A121" s="17" t="n"/>
      <c r="B121" s="8">
        <f>IF(A121="","",IFERROR(INDEX(แผนคลิป!$B:$B,MATCH(A121,แผนคลิป!$A:$A,0)),""))</f>
        <v/>
      </c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8">
        <f>IF(OR(D121="",H121=""),"",ABS(H121-D121))</f>
        <v/>
      </c>
      <c r="L121" s="8">
        <f>IF(OR(D121="",J121=""),"",ABS(J121-D121))</f>
        <v/>
      </c>
    </row>
    <row r="122">
      <c r="A122" s="17" t="n"/>
      <c r="B122" s="8">
        <f>IF(A122="","",IFERROR(INDEX(แผนคลิป!$B:$B,MATCH(A122,แผนคลิป!$A:$A,0)),""))</f>
        <v/>
      </c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8">
        <f>IF(OR(D122="",H122=""),"",ABS(H122-D122))</f>
        <v/>
      </c>
      <c r="L122" s="8">
        <f>IF(OR(D122="",J122=""),"",ABS(J122-D122))</f>
        <v/>
      </c>
    </row>
    <row r="123">
      <c r="A123" s="17" t="n"/>
      <c r="B123" s="8">
        <f>IF(A123="","",IFERROR(INDEX(แผนคลิป!$B:$B,MATCH(A123,แผนคลิป!$A:$A,0)),""))</f>
        <v/>
      </c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8">
        <f>IF(OR(D123="",H123=""),"",ABS(H123-D123))</f>
        <v/>
      </c>
      <c r="L123" s="8">
        <f>IF(OR(D123="",J123=""),"",ABS(J123-D123))</f>
        <v/>
      </c>
    </row>
    <row r="124">
      <c r="A124" s="17" t="n"/>
      <c r="B124" s="8">
        <f>IF(A124="","",IFERROR(INDEX(แผนคลิป!$B:$B,MATCH(A124,แผนคลิป!$A:$A,0)),""))</f>
        <v/>
      </c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8">
        <f>IF(OR(D124="",H124=""),"",ABS(H124-D124))</f>
        <v/>
      </c>
      <c r="L124" s="8">
        <f>IF(OR(D124="",J124=""),"",ABS(J124-D124))</f>
        <v/>
      </c>
    </row>
    <row r="125">
      <c r="A125" s="17" t="n"/>
      <c r="B125" s="8">
        <f>IF(A125="","",IFERROR(INDEX(แผนคลิป!$B:$B,MATCH(A125,แผนคลิป!$A:$A,0)),""))</f>
        <v/>
      </c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8">
        <f>IF(OR(D125="",H125=""),"",ABS(H125-D125))</f>
        <v/>
      </c>
      <c r="L125" s="8">
        <f>IF(OR(D125="",J125=""),"",ABS(J125-D125))</f>
        <v/>
      </c>
    </row>
    <row r="126">
      <c r="A126" s="17" t="n"/>
      <c r="B126" s="8">
        <f>IF(A126="","",IFERROR(INDEX(แผนคลิป!$B:$B,MATCH(A126,แผนคลิป!$A:$A,0)),""))</f>
        <v/>
      </c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8">
        <f>IF(OR(D126="",H126=""),"",ABS(H126-D126))</f>
        <v/>
      </c>
      <c r="L126" s="8">
        <f>IF(OR(D126="",J126=""),"",ABS(J126-D126))</f>
        <v/>
      </c>
    </row>
    <row r="127">
      <c r="A127" s="17" t="n"/>
      <c r="B127" s="8">
        <f>IF(A127="","",IFERROR(INDEX(แผนคลิป!$B:$B,MATCH(A127,แผนคลิป!$A:$A,0)),""))</f>
        <v/>
      </c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8">
        <f>IF(OR(D127="",H127=""),"",ABS(H127-D127))</f>
        <v/>
      </c>
      <c r="L127" s="8">
        <f>IF(OR(D127="",J127=""),"",ABS(J127-D127))</f>
        <v/>
      </c>
    </row>
    <row r="128">
      <c r="A128" s="17" t="n"/>
      <c r="B128" s="8">
        <f>IF(A128="","",IFERROR(INDEX(แผนคลิป!$B:$B,MATCH(A128,แผนคลิป!$A:$A,0)),""))</f>
        <v/>
      </c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8">
        <f>IF(OR(D128="",H128=""),"",ABS(H128-D128))</f>
        <v/>
      </c>
      <c r="L128" s="8">
        <f>IF(OR(D128="",J128=""),"",ABS(J128-D128))</f>
        <v/>
      </c>
    </row>
    <row r="129">
      <c r="A129" s="17" t="n"/>
      <c r="B129" s="8">
        <f>IF(A129="","",IFERROR(INDEX(แผนคลิป!$B:$B,MATCH(A129,แผนคลิป!$A:$A,0)),""))</f>
        <v/>
      </c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8">
        <f>IF(OR(D129="",H129=""),"",ABS(H129-D129))</f>
        <v/>
      </c>
      <c r="L129" s="8">
        <f>IF(OR(D129="",J129=""),"",ABS(J129-D129))</f>
        <v/>
      </c>
    </row>
    <row r="130">
      <c r="A130" s="17" t="n"/>
      <c r="B130" s="8">
        <f>IF(A130="","",IFERROR(INDEX(แผนคลิป!$B:$B,MATCH(A130,แผนคลิป!$A:$A,0)),""))</f>
        <v/>
      </c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8">
        <f>IF(OR(D130="",H130=""),"",ABS(H130-D130))</f>
        <v/>
      </c>
      <c r="L130" s="8">
        <f>IF(OR(D130="",J130=""),"",ABS(J130-D130))</f>
        <v/>
      </c>
    </row>
    <row r="131">
      <c r="A131" s="17" t="n"/>
      <c r="B131" s="8">
        <f>IF(A131="","",IFERROR(INDEX(แผนคลิป!$B:$B,MATCH(A131,แผนคลิป!$A:$A,0)),""))</f>
        <v/>
      </c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8">
        <f>IF(OR(D131="",H131=""),"",ABS(H131-D131))</f>
        <v/>
      </c>
      <c r="L131" s="8">
        <f>IF(OR(D131="",J131=""),"",ABS(J131-D131))</f>
        <v/>
      </c>
    </row>
    <row r="132">
      <c r="A132" s="17" t="n"/>
      <c r="B132" s="8">
        <f>IF(A132="","",IFERROR(INDEX(แผนคลิป!$B:$B,MATCH(A132,แผนคลิป!$A:$A,0)),""))</f>
        <v/>
      </c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8">
        <f>IF(OR(D132="",H132=""),"",ABS(H132-D132))</f>
        <v/>
      </c>
      <c r="L132" s="8">
        <f>IF(OR(D132="",J132=""),"",ABS(J132-D132))</f>
        <v/>
      </c>
    </row>
    <row r="133">
      <c r="A133" s="17" t="n"/>
      <c r="B133" s="8">
        <f>IF(A133="","",IFERROR(INDEX(แผนคลิป!$B:$B,MATCH(A133,แผนคลิป!$A:$A,0)),""))</f>
        <v/>
      </c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8">
        <f>IF(OR(D133="",H133=""),"",ABS(H133-D133))</f>
        <v/>
      </c>
      <c r="L133" s="8">
        <f>IF(OR(D133="",J133=""),"",ABS(J133-D133))</f>
        <v/>
      </c>
    </row>
    <row r="134">
      <c r="A134" s="17" t="n"/>
      <c r="B134" s="8">
        <f>IF(A134="","",IFERROR(INDEX(แผนคลิป!$B:$B,MATCH(A134,แผนคลิป!$A:$A,0)),""))</f>
        <v/>
      </c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8">
        <f>IF(OR(D134="",H134=""),"",ABS(H134-D134))</f>
        <v/>
      </c>
      <c r="L134" s="8">
        <f>IF(OR(D134="",J134=""),"",ABS(J134-D134))</f>
        <v/>
      </c>
    </row>
    <row r="135">
      <c r="A135" s="17" t="n"/>
      <c r="B135" s="8">
        <f>IF(A135="","",IFERROR(INDEX(แผนคลิป!$B:$B,MATCH(A135,แผนคลิป!$A:$A,0)),""))</f>
        <v/>
      </c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8">
        <f>IF(OR(D135="",H135=""),"",ABS(H135-D135))</f>
        <v/>
      </c>
      <c r="L135" s="8">
        <f>IF(OR(D135="",J135=""),"",ABS(J135-D135))</f>
        <v/>
      </c>
    </row>
    <row r="136">
      <c r="A136" s="17" t="n"/>
      <c r="B136" s="8">
        <f>IF(A136="","",IFERROR(INDEX(แผนคลิป!$B:$B,MATCH(A136,แผนคลิป!$A:$A,0)),""))</f>
        <v/>
      </c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8">
        <f>IF(OR(D136="",H136=""),"",ABS(H136-D136))</f>
        <v/>
      </c>
      <c r="L136" s="8">
        <f>IF(OR(D136="",J136=""),"",ABS(J136-D136))</f>
        <v/>
      </c>
    </row>
    <row r="137">
      <c r="A137" s="17" t="n"/>
      <c r="B137" s="8">
        <f>IF(A137="","",IFERROR(INDEX(แผนคลิป!$B:$B,MATCH(A137,แผนคลิป!$A:$A,0)),""))</f>
        <v/>
      </c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8">
        <f>IF(OR(D137="",H137=""),"",ABS(H137-D137))</f>
        <v/>
      </c>
      <c r="L137" s="8">
        <f>IF(OR(D137="",J137=""),"",ABS(J137-D137))</f>
        <v/>
      </c>
    </row>
    <row r="138">
      <c r="A138" s="17" t="n"/>
      <c r="B138" s="8">
        <f>IF(A138="","",IFERROR(INDEX(แผนคลิป!$B:$B,MATCH(A138,แผนคลิป!$A:$A,0)),""))</f>
        <v/>
      </c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8">
        <f>IF(OR(D138="",H138=""),"",ABS(H138-D138))</f>
        <v/>
      </c>
      <c r="L138" s="8">
        <f>IF(OR(D138="",J138=""),"",ABS(J138-D138))</f>
        <v/>
      </c>
    </row>
    <row r="139">
      <c r="A139" s="17" t="n"/>
      <c r="B139" s="8">
        <f>IF(A139="","",IFERROR(INDEX(แผนคลิป!$B:$B,MATCH(A139,แผนคลิป!$A:$A,0)),""))</f>
        <v/>
      </c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8">
        <f>IF(OR(D139="",H139=""),"",ABS(H139-D139))</f>
        <v/>
      </c>
      <c r="L139" s="8">
        <f>IF(OR(D139="",J139=""),"",ABS(J139-D139))</f>
        <v/>
      </c>
    </row>
    <row r="140">
      <c r="A140" s="17" t="n"/>
      <c r="B140" s="8">
        <f>IF(A140="","",IFERROR(INDEX(แผนคลิป!$B:$B,MATCH(A140,แผนคลิป!$A:$A,0)),""))</f>
        <v/>
      </c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8">
        <f>IF(OR(D140="",H140=""),"",ABS(H140-D140))</f>
        <v/>
      </c>
      <c r="L140" s="8">
        <f>IF(OR(D140="",J140=""),"",ABS(J140-D140))</f>
        <v/>
      </c>
    </row>
    <row r="141">
      <c r="A141" s="17" t="n"/>
      <c r="B141" s="8">
        <f>IF(A141="","",IFERROR(INDEX(แผนคลิป!$B:$B,MATCH(A141,แผนคลิป!$A:$A,0)),""))</f>
        <v/>
      </c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8">
        <f>IF(OR(D141="",H141=""),"",ABS(H141-D141))</f>
        <v/>
      </c>
      <c r="L141" s="8">
        <f>IF(OR(D141="",J141=""),"",ABS(J141-D141))</f>
        <v/>
      </c>
    </row>
    <row r="142">
      <c r="A142" s="17" t="n"/>
      <c r="B142" s="8">
        <f>IF(A142="","",IFERROR(INDEX(แผนคลิป!$B:$B,MATCH(A142,แผนคลิป!$A:$A,0)),""))</f>
        <v/>
      </c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8">
        <f>IF(OR(D142="",H142=""),"",ABS(H142-D142))</f>
        <v/>
      </c>
      <c r="L142" s="8">
        <f>IF(OR(D142="",J142=""),"",ABS(J142-D142))</f>
        <v/>
      </c>
    </row>
    <row r="143">
      <c r="A143" s="17" t="n"/>
      <c r="B143" s="8">
        <f>IF(A143="","",IFERROR(INDEX(แผนคลิป!$B:$B,MATCH(A143,แผนคลิป!$A:$A,0)),""))</f>
        <v/>
      </c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8">
        <f>IF(OR(D143="",H143=""),"",ABS(H143-D143))</f>
        <v/>
      </c>
      <c r="L143" s="8">
        <f>IF(OR(D143="",J143=""),"",ABS(J143-D143))</f>
        <v/>
      </c>
    </row>
    <row r="144">
      <c r="A144" s="17" t="n"/>
      <c r="B144" s="8">
        <f>IF(A144="","",IFERROR(INDEX(แผนคลิป!$B:$B,MATCH(A144,แผนคลิป!$A:$A,0)),""))</f>
        <v/>
      </c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8">
        <f>IF(OR(D144="",H144=""),"",ABS(H144-D144))</f>
        <v/>
      </c>
      <c r="L144" s="8">
        <f>IF(OR(D144="",J144=""),"",ABS(J144-D144))</f>
        <v/>
      </c>
    </row>
    <row r="145">
      <c r="A145" s="17" t="n"/>
      <c r="B145" s="8">
        <f>IF(A145="","",IFERROR(INDEX(แผนคลิป!$B:$B,MATCH(A145,แผนคลิป!$A:$A,0)),""))</f>
        <v/>
      </c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8">
        <f>IF(OR(D145="",H145=""),"",ABS(H145-D145))</f>
        <v/>
      </c>
      <c r="L145" s="8">
        <f>IF(OR(D145="",J145=""),"",ABS(J145-D145))</f>
        <v/>
      </c>
    </row>
    <row r="146">
      <c r="A146" s="17" t="n"/>
      <c r="B146" s="8">
        <f>IF(A146="","",IFERROR(INDEX(แผนคลิป!$B:$B,MATCH(A146,แผนคลิป!$A:$A,0)),""))</f>
        <v/>
      </c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8">
        <f>IF(OR(D146="",H146=""),"",ABS(H146-D146))</f>
        <v/>
      </c>
      <c r="L146" s="8">
        <f>IF(OR(D146="",J146=""),"",ABS(J146-D146))</f>
        <v/>
      </c>
    </row>
    <row r="147">
      <c r="A147" s="17" t="n"/>
      <c r="B147" s="8">
        <f>IF(A147="","",IFERROR(INDEX(แผนคลิป!$B:$B,MATCH(A147,แผนคลิป!$A:$A,0)),""))</f>
        <v/>
      </c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8">
        <f>IF(OR(D147="",H147=""),"",ABS(H147-D147))</f>
        <v/>
      </c>
      <c r="L147" s="8">
        <f>IF(OR(D147="",J147=""),"",ABS(J147-D147))</f>
        <v/>
      </c>
    </row>
    <row r="148">
      <c r="A148" s="17" t="n"/>
      <c r="B148" s="8">
        <f>IF(A148="","",IFERROR(INDEX(แผนคลิป!$B:$B,MATCH(A148,แผนคลิป!$A:$A,0)),""))</f>
        <v/>
      </c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8">
        <f>IF(OR(D148="",H148=""),"",ABS(H148-D148))</f>
        <v/>
      </c>
      <c r="L148" s="8">
        <f>IF(OR(D148="",J148=""),"",ABS(J148-D148))</f>
        <v/>
      </c>
    </row>
    <row r="149">
      <c r="A149" s="17" t="n"/>
      <c r="B149" s="8">
        <f>IF(A149="","",IFERROR(INDEX(แผนคลิป!$B:$B,MATCH(A149,แผนคลิป!$A:$A,0)),""))</f>
        <v/>
      </c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8">
        <f>IF(OR(D149="",H149=""),"",ABS(H149-D149))</f>
        <v/>
      </c>
      <c r="L149" s="8">
        <f>IF(OR(D149="",J149=""),"",ABS(J149-D149))</f>
        <v/>
      </c>
    </row>
    <row r="150">
      <c r="A150" s="17" t="n"/>
      <c r="B150" s="8">
        <f>IF(A150="","",IFERROR(INDEX(แผนคลิป!$B:$B,MATCH(A150,แผนคลิป!$A:$A,0)),""))</f>
        <v/>
      </c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8">
        <f>IF(OR(D150="",H150=""),"",ABS(H150-D150))</f>
        <v/>
      </c>
      <c r="L150" s="8">
        <f>IF(OR(D150="",J150=""),"",ABS(J150-D150))</f>
        <v/>
      </c>
    </row>
    <row r="151">
      <c r="A151" s="17" t="n"/>
      <c r="B151" s="8">
        <f>IF(A151="","",IFERROR(INDEX(แผนคลิป!$B:$B,MATCH(A151,แผนคลิป!$A:$A,0)),""))</f>
        <v/>
      </c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8">
        <f>IF(OR(D151="",H151=""),"",ABS(H151-D151))</f>
        <v/>
      </c>
      <c r="L151" s="8">
        <f>IF(OR(D151="",J151=""),"",ABS(J151-D151))</f>
        <v/>
      </c>
    </row>
    <row r="152">
      <c r="A152" s="17" t="n"/>
      <c r="B152" s="8">
        <f>IF(A152="","",IFERROR(INDEX(แผนคลิป!$B:$B,MATCH(A152,แผนคลิป!$A:$A,0)),""))</f>
        <v/>
      </c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8">
        <f>IF(OR(D152="",H152=""),"",ABS(H152-D152))</f>
        <v/>
      </c>
      <c r="L152" s="8">
        <f>IF(OR(D152="",J152=""),"",ABS(J152-D152))</f>
        <v/>
      </c>
    </row>
    <row r="153">
      <c r="A153" s="17" t="n"/>
      <c r="B153" s="8">
        <f>IF(A153="","",IFERROR(INDEX(แผนคลิป!$B:$B,MATCH(A153,แผนคลิป!$A:$A,0)),""))</f>
        <v/>
      </c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8">
        <f>IF(OR(D153="",H153=""),"",ABS(H153-D153))</f>
        <v/>
      </c>
      <c r="L153" s="8">
        <f>IF(OR(D153="",J153=""),"",ABS(J153-D153))</f>
        <v/>
      </c>
    </row>
    <row r="154">
      <c r="A154" s="17" t="n"/>
      <c r="B154" s="8">
        <f>IF(A154="","",IFERROR(INDEX(แผนคลิป!$B:$B,MATCH(A154,แผนคลิป!$A:$A,0)),""))</f>
        <v/>
      </c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8">
        <f>IF(OR(D154="",H154=""),"",ABS(H154-D154))</f>
        <v/>
      </c>
      <c r="L154" s="8">
        <f>IF(OR(D154="",J154=""),"",ABS(J154-D154))</f>
        <v/>
      </c>
    </row>
    <row r="155">
      <c r="A155" s="17" t="n"/>
      <c r="B155" s="8">
        <f>IF(A155="","",IFERROR(INDEX(แผนคลิป!$B:$B,MATCH(A155,แผนคลิป!$A:$A,0)),""))</f>
        <v/>
      </c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8">
        <f>IF(OR(D155="",H155=""),"",ABS(H155-D155))</f>
        <v/>
      </c>
      <c r="L155" s="8">
        <f>IF(OR(D155="",J155=""),"",ABS(J155-D155))</f>
        <v/>
      </c>
    </row>
    <row r="156">
      <c r="A156" s="17" t="n"/>
      <c r="B156" s="8">
        <f>IF(A156="","",IFERROR(INDEX(แผนคลิป!$B:$B,MATCH(A156,แผนคลิป!$A:$A,0)),""))</f>
        <v/>
      </c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8">
        <f>IF(OR(D156="",H156=""),"",ABS(H156-D156))</f>
        <v/>
      </c>
      <c r="L156" s="8">
        <f>IF(OR(D156="",J156=""),"",ABS(J156-D156))</f>
        <v/>
      </c>
    </row>
    <row r="157">
      <c r="A157" s="17" t="n"/>
      <c r="B157" s="8">
        <f>IF(A157="","",IFERROR(INDEX(แผนคลิป!$B:$B,MATCH(A157,แผนคลิป!$A:$A,0)),""))</f>
        <v/>
      </c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8">
        <f>IF(OR(D157="",H157=""),"",ABS(H157-D157))</f>
        <v/>
      </c>
      <c r="L157" s="8">
        <f>IF(OR(D157="",J157=""),"",ABS(J157-D157))</f>
        <v/>
      </c>
    </row>
    <row r="158">
      <c r="A158" s="17" t="n"/>
      <c r="B158" s="8">
        <f>IF(A158="","",IFERROR(INDEX(แผนคลิป!$B:$B,MATCH(A158,แผนคลิป!$A:$A,0)),""))</f>
        <v/>
      </c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8">
        <f>IF(OR(D158="",H158=""),"",ABS(H158-D158))</f>
        <v/>
      </c>
      <c r="L158" s="8">
        <f>IF(OR(D158="",J158=""),"",ABS(J158-D158))</f>
        <v/>
      </c>
    </row>
    <row r="159">
      <c r="A159" s="17" t="n"/>
      <c r="B159" s="8">
        <f>IF(A159="","",IFERROR(INDEX(แผนคลิป!$B:$B,MATCH(A159,แผนคลิป!$A:$A,0)),""))</f>
        <v/>
      </c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8">
        <f>IF(OR(D159="",H159=""),"",ABS(H159-D159))</f>
        <v/>
      </c>
      <c r="L159" s="8">
        <f>IF(OR(D159="",J159=""),"",ABS(J159-D159))</f>
        <v/>
      </c>
    </row>
    <row r="160">
      <c r="A160" s="17" t="n"/>
      <c r="B160" s="8">
        <f>IF(A160="","",IFERROR(INDEX(แผนคลิป!$B:$B,MATCH(A160,แผนคลิป!$A:$A,0)),""))</f>
        <v/>
      </c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8">
        <f>IF(OR(D160="",H160=""),"",ABS(H160-D160))</f>
        <v/>
      </c>
      <c r="L160" s="8">
        <f>IF(OR(D160="",J160=""),"",ABS(J160-D160))</f>
        <v/>
      </c>
    </row>
    <row r="161">
      <c r="A161" s="17" t="n"/>
      <c r="B161" s="8">
        <f>IF(A161="","",IFERROR(INDEX(แผนคลิป!$B:$B,MATCH(A161,แผนคลิป!$A:$A,0)),""))</f>
        <v/>
      </c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8">
        <f>IF(OR(D161="",H161=""),"",ABS(H161-D161))</f>
        <v/>
      </c>
      <c r="L161" s="8">
        <f>IF(OR(D161="",J161=""),"",ABS(J161-D161))</f>
        <v/>
      </c>
    </row>
    <row r="162">
      <c r="A162" s="17" t="n"/>
      <c r="B162" s="8">
        <f>IF(A162="","",IFERROR(INDEX(แผนคลิป!$B:$B,MATCH(A162,แผนคลิป!$A:$A,0)),""))</f>
        <v/>
      </c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8">
        <f>IF(OR(D162="",H162=""),"",ABS(H162-D162))</f>
        <v/>
      </c>
      <c r="L162" s="8">
        <f>IF(OR(D162="",J162=""),"",ABS(J162-D162))</f>
        <v/>
      </c>
    </row>
    <row r="163">
      <c r="A163" s="17" t="n"/>
      <c r="B163" s="8">
        <f>IF(A163="","",IFERROR(INDEX(แผนคลิป!$B:$B,MATCH(A163,แผนคลิป!$A:$A,0)),""))</f>
        <v/>
      </c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8">
        <f>IF(OR(D163="",H163=""),"",ABS(H163-D163))</f>
        <v/>
      </c>
      <c r="L163" s="8">
        <f>IF(OR(D163="",J163=""),"",ABS(J163-D163))</f>
        <v/>
      </c>
    </row>
    <row r="164">
      <c r="A164" s="17" t="n"/>
      <c r="B164" s="8">
        <f>IF(A164="","",IFERROR(INDEX(แผนคลิป!$B:$B,MATCH(A164,แผนคลิป!$A:$A,0)),""))</f>
        <v/>
      </c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8">
        <f>IF(OR(D164="",H164=""),"",ABS(H164-D164))</f>
        <v/>
      </c>
      <c r="L164" s="8">
        <f>IF(OR(D164="",J164=""),"",ABS(J164-D164))</f>
        <v/>
      </c>
    </row>
    <row r="165">
      <c r="A165" s="17" t="n"/>
      <c r="B165" s="8">
        <f>IF(A165="","",IFERROR(INDEX(แผนคลิป!$B:$B,MATCH(A165,แผนคลิป!$A:$A,0)),""))</f>
        <v/>
      </c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8">
        <f>IF(OR(D165="",H165=""),"",ABS(H165-D165))</f>
        <v/>
      </c>
      <c r="L165" s="8">
        <f>IF(OR(D165="",J165=""),"",ABS(J165-D165))</f>
        <v/>
      </c>
    </row>
    <row r="166">
      <c r="A166" s="17" t="n"/>
      <c r="B166" s="8">
        <f>IF(A166="","",IFERROR(INDEX(แผนคลิป!$B:$B,MATCH(A166,แผนคลิป!$A:$A,0)),""))</f>
        <v/>
      </c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8">
        <f>IF(OR(D166="",H166=""),"",ABS(H166-D166))</f>
        <v/>
      </c>
      <c r="L166" s="8">
        <f>IF(OR(D166="",J166=""),"",ABS(J166-D166))</f>
        <v/>
      </c>
    </row>
    <row r="167">
      <c r="A167" s="17" t="n"/>
      <c r="B167" s="8">
        <f>IF(A167="","",IFERROR(INDEX(แผนคลิป!$B:$B,MATCH(A167,แผนคลิป!$A:$A,0)),""))</f>
        <v/>
      </c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8">
        <f>IF(OR(D167="",H167=""),"",ABS(H167-D167))</f>
        <v/>
      </c>
      <c r="L167" s="8">
        <f>IF(OR(D167="",J167=""),"",ABS(J167-D167))</f>
        <v/>
      </c>
    </row>
    <row r="168">
      <c r="A168" s="17" t="n"/>
      <c r="B168" s="8">
        <f>IF(A168="","",IFERROR(INDEX(แผนคลิป!$B:$B,MATCH(A168,แผนคลิป!$A:$A,0)),""))</f>
        <v/>
      </c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8">
        <f>IF(OR(D168="",H168=""),"",ABS(H168-D168))</f>
        <v/>
      </c>
      <c r="L168" s="8">
        <f>IF(OR(D168="",J168=""),"",ABS(J168-D168))</f>
        <v/>
      </c>
    </row>
    <row r="169">
      <c r="A169" s="17" t="n"/>
      <c r="B169" s="8">
        <f>IF(A169="","",IFERROR(INDEX(แผนคลิป!$B:$B,MATCH(A169,แผนคลิป!$A:$A,0)),""))</f>
        <v/>
      </c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8">
        <f>IF(OR(D169="",H169=""),"",ABS(H169-D169))</f>
        <v/>
      </c>
      <c r="L169" s="8">
        <f>IF(OR(D169="",J169=""),"",ABS(J169-D169))</f>
        <v/>
      </c>
    </row>
    <row r="170">
      <c r="A170" s="17" t="n"/>
      <c r="B170" s="8">
        <f>IF(A170="","",IFERROR(INDEX(แผนคลิป!$B:$B,MATCH(A170,แผนคลิป!$A:$A,0)),""))</f>
        <v/>
      </c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8">
        <f>IF(OR(D170="",H170=""),"",ABS(H170-D170))</f>
        <v/>
      </c>
      <c r="L170" s="8">
        <f>IF(OR(D170="",J170=""),"",ABS(J170-D170))</f>
        <v/>
      </c>
    </row>
    <row r="171">
      <c r="A171" s="17" t="n"/>
      <c r="B171" s="8">
        <f>IF(A171="","",IFERROR(INDEX(แผนคลิป!$B:$B,MATCH(A171,แผนคลิป!$A:$A,0)),""))</f>
        <v/>
      </c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8">
        <f>IF(OR(D171="",H171=""),"",ABS(H171-D171))</f>
        <v/>
      </c>
      <c r="L171" s="8">
        <f>IF(OR(D171="",J171=""),"",ABS(J171-D171))</f>
        <v/>
      </c>
    </row>
    <row r="172">
      <c r="A172" s="17" t="n"/>
      <c r="B172" s="8">
        <f>IF(A172="","",IFERROR(INDEX(แผนคลิป!$B:$B,MATCH(A172,แผนคลิป!$A:$A,0)),""))</f>
        <v/>
      </c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8">
        <f>IF(OR(D172="",H172=""),"",ABS(H172-D172))</f>
        <v/>
      </c>
      <c r="L172" s="8">
        <f>IF(OR(D172="",J172=""),"",ABS(J172-D172))</f>
        <v/>
      </c>
    </row>
    <row r="173">
      <c r="A173" s="17" t="n"/>
      <c r="B173" s="8">
        <f>IF(A173="","",IFERROR(INDEX(แผนคลิป!$B:$B,MATCH(A173,แผนคลิป!$A:$A,0)),""))</f>
        <v/>
      </c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8">
        <f>IF(OR(D173="",H173=""),"",ABS(H173-D173))</f>
        <v/>
      </c>
      <c r="L173" s="8">
        <f>IF(OR(D173="",J173=""),"",ABS(J173-D173))</f>
        <v/>
      </c>
    </row>
    <row r="174">
      <c r="A174" s="17" t="n"/>
      <c r="B174" s="8">
        <f>IF(A174="","",IFERROR(INDEX(แผนคลิป!$B:$B,MATCH(A174,แผนคลิป!$A:$A,0)),""))</f>
        <v/>
      </c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8">
        <f>IF(OR(D174="",H174=""),"",ABS(H174-D174))</f>
        <v/>
      </c>
      <c r="L174" s="8">
        <f>IF(OR(D174="",J174=""),"",ABS(J174-D174))</f>
        <v/>
      </c>
    </row>
    <row r="175">
      <c r="A175" s="17" t="n"/>
      <c r="B175" s="8">
        <f>IF(A175="","",IFERROR(INDEX(แผนคลิป!$B:$B,MATCH(A175,แผนคลิป!$A:$A,0)),""))</f>
        <v/>
      </c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8">
        <f>IF(OR(D175="",H175=""),"",ABS(H175-D175))</f>
        <v/>
      </c>
      <c r="L175" s="8">
        <f>IF(OR(D175="",J175=""),"",ABS(J175-D175))</f>
        <v/>
      </c>
    </row>
    <row r="176">
      <c r="A176" s="17" t="n"/>
      <c r="B176" s="8">
        <f>IF(A176="","",IFERROR(INDEX(แผนคลิป!$B:$B,MATCH(A176,แผนคลิป!$A:$A,0)),""))</f>
        <v/>
      </c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8">
        <f>IF(OR(D176="",H176=""),"",ABS(H176-D176))</f>
        <v/>
      </c>
      <c r="L176" s="8">
        <f>IF(OR(D176="",J176=""),"",ABS(J176-D176))</f>
        <v/>
      </c>
    </row>
    <row r="177">
      <c r="A177" s="17" t="n"/>
      <c r="B177" s="8">
        <f>IF(A177="","",IFERROR(INDEX(แผนคลิป!$B:$B,MATCH(A177,แผนคลิป!$A:$A,0)),""))</f>
        <v/>
      </c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8">
        <f>IF(OR(D177="",H177=""),"",ABS(H177-D177))</f>
        <v/>
      </c>
      <c r="L177" s="8">
        <f>IF(OR(D177="",J177=""),"",ABS(J177-D177))</f>
        <v/>
      </c>
    </row>
    <row r="178">
      <c r="A178" s="17" t="n"/>
      <c r="B178" s="8">
        <f>IF(A178="","",IFERROR(INDEX(แผนคลิป!$B:$B,MATCH(A178,แผนคลิป!$A:$A,0)),""))</f>
        <v/>
      </c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8">
        <f>IF(OR(D178="",H178=""),"",ABS(H178-D178))</f>
        <v/>
      </c>
      <c r="L178" s="8">
        <f>IF(OR(D178="",J178=""),"",ABS(J178-D178))</f>
        <v/>
      </c>
    </row>
    <row r="179">
      <c r="A179" s="17" t="n"/>
      <c r="B179" s="8">
        <f>IF(A179="","",IFERROR(INDEX(แผนคลิป!$B:$B,MATCH(A179,แผนคลิป!$A:$A,0)),""))</f>
        <v/>
      </c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8">
        <f>IF(OR(D179="",H179=""),"",ABS(H179-D179))</f>
        <v/>
      </c>
      <c r="L179" s="8">
        <f>IF(OR(D179="",J179=""),"",ABS(J179-D179))</f>
        <v/>
      </c>
    </row>
    <row r="180">
      <c r="A180" s="17" t="n"/>
      <c r="B180" s="8">
        <f>IF(A180="","",IFERROR(INDEX(แผนคลิป!$B:$B,MATCH(A180,แผนคลิป!$A:$A,0)),""))</f>
        <v/>
      </c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8">
        <f>IF(OR(D180="",H180=""),"",ABS(H180-D180))</f>
        <v/>
      </c>
      <c r="L180" s="8">
        <f>IF(OR(D180="",J180=""),"",ABS(J180-D180))</f>
        <v/>
      </c>
    </row>
    <row r="181">
      <c r="A181" s="17" t="n"/>
      <c r="B181" s="8">
        <f>IF(A181="","",IFERROR(INDEX(แผนคลิป!$B:$B,MATCH(A181,แผนคลิป!$A:$A,0)),""))</f>
        <v/>
      </c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8">
        <f>IF(OR(D181="",H181=""),"",ABS(H181-D181))</f>
        <v/>
      </c>
      <c r="L181" s="8">
        <f>IF(OR(D181="",J181=""),"",ABS(J181-D181))</f>
        <v/>
      </c>
    </row>
    <row r="182">
      <c r="A182" s="17" t="n"/>
      <c r="B182" s="8">
        <f>IF(A182="","",IFERROR(INDEX(แผนคลิป!$B:$B,MATCH(A182,แผนคลิป!$A:$A,0)),""))</f>
        <v/>
      </c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8">
        <f>IF(OR(D182="",H182=""),"",ABS(H182-D182))</f>
        <v/>
      </c>
      <c r="L182" s="8">
        <f>IF(OR(D182="",J182=""),"",ABS(J182-D182))</f>
        <v/>
      </c>
    </row>
    <row r="183">
      <c r="A183" s="17" t="n"/>
      <c r="B183" s="8">
        <f>IF(A183="","",IFERROR(INDEX(แผนคลิป!$B:$B,MATCH(A183,แผนคลิป!$A:$A,0)),""))</f>
        <v/>
      </c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8">
        <f>IF(OR(D183="",H183=""),"",ABS(H183-D183))</f>
        <v/>
      </c>
      <c r="L183" s="8">
        <f>IF(OR(D183="",J183=""),"",ABS(J183-D183))</f>
        <v/>
      </c>
    </row>
    <row r="184">
      <c r="A184" s="17" t="n"/>
      <c r="B184" s="8">
        <f>IF(A184="","",IFERROR(INDEX(แผนคลิป!$B:$B,MATCH(A184,แผนคลิป!$A:$A,0)),""))</f>
        <v/>
      </c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8">
        <f>IF(OR(D184="",H184=""),"",ABS(H184-D184))</f>
        <v/>
      </c>
      <c r="L184" s="8">
        <f>IF(OR(D184="",J184=""),"",ABS(J184-D184))</f>
        <v/>
      </c>
    </row>
    <row r="185">
      <c r="A185" s="17" t="n"/>
      <c r="B185" s="8">
        <f>IF(A185="","",IFERROR(INDEX(แผนคลิป!$B:$B,MATCH(A185,แผนคลิป!$A:$A,0)),""))</f>
        <v/>
      </c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8">
        <f>IF(OR(D185="",H185=""),"",ABS(H185-D185))</f>
        <v/>
      </c>
      <c r="L185" s="8">
        <f>IF(OR(D185="",J185=""),"",ABS(J185-D185))</f>
        <v/>
      </c>
    </row>
    <row r="186">
      <c r="A186" s="17" t="n"/>
      <c r="B186" s="8">
        <f>IF(A186="","",IFERROR(INDEX(แผนคลิป!$B:$B,MATCH(A186,แผนคลิป!$A:$A,0)),""))</f>
        <v/>
      </c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8">
        <f>IF(OR(D186="",H186=""),"",ABS(H186-D186))</f>
        <v/>
      </c>
      <c r="L186" s="8">
        <f>IF(OR(D186="",J186=""),"",ABS(J186-D186))</f>
        <v/>
      </c>
    </row>
    <row r="187">
      <c r="A187" s="17" t="n"/>
      <c r="B187" s="8">
        <f>IF(A187="","",IFERROR(INDEX(แผนคลิป!$B:$B,MATCH(A187,แผนคลิป!$A:$A,0)),""))</f>
        <v/>
      </c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8">
        <f>IF(OR(D187="",H187=""),"",ABS(H187-D187))</f>
        <v/>
      </c>
      <c r="L187" s="8">
        <f>IF(OR(D187="",J187=""),"",ABS(J187-D187))</f>
        <v/>
      </c>
    </row>
    <row r="188">
      <c r="A188" s="17" t="n"/>
      <c r="B188" s="8">
        <f>IF(A188="","",IFERROR(INDEX(แผนคลิป!$B:$B,MATCH(A188,แผนคลิป!$A:$A,0)),""))</f>
        <v/>
      </c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8">
        <f>IF(OR(D188="",H188=""),"",ABS(H188-D188))</f>
        <v/>
      </c>
      <c r="L188" s="8">
        <f>IF(OR(D188="",J188=""),"",ABS(J188-D188))</f>
        <v/>
      </c>
    </row>
    <row r="189">
      <c r="A189" s="17" t="n"/>
      <c r="B189" s="8">
        <f>IF(A189="","",IFERROR(INDEX(แผนคลิป!$B:$B,MATCH(A189,แผนคลิป!$A:$A,0)),""))</f>
        <v/>
      </c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8">
        <f>IF(OR(D189="",H189=""),"",ABS(H189-D189))</f>
        <v/>
      </c>
      <c r="L189" s="8">
        <f>IF(OR(D189="",J189=""),"",ABS(J189-D189))</f>
        <v/>
      </c>
    </row>
    <row r="190">
      <c r="A190" s="17" t="n"/>
      <c r="B190" s="8">
        <f>IF(A190="","",IFERROR(INDEX(แผนคลิป!$B:$B,MATCH(A190,แผนคลิป!$A:$A,0)),""))</f>
        <v/>
      </c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8">
        <f>IF(OR(D190="",H190=""),"",ABS(H190-D190))</f>
        <v/>
      </c>
      <c r="L190" s="8">
        <f>IF(OR(D190="",J190=""),"",ABS(J190-D190))</f>
        <v/>
      </c>
    </row>
    <row r="191">
      <c r="A191" s="17" t="n"/>
      <c r="B191" s="8">
        <f>IF(A191="","",IFERROR(INDEX(แผนคลิป!$B:$B,MATCH(A191,แผนคลิป!$A:$A,0)),""))</f>
        <v/>
      </c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8">
        <f>IF(OR(D191="",H191=""),"",ABS(H191-D191))</f>
        <v/>
      </c>
      <c r="L191" s="8">
        <f>IF(OR(D191="",J191=""),"",ABS(J191-D191))</f>
        <v/>
      </c>
    </row>
    <row r="192">
      <c r="A192" s="17" t="n"/>
      <c r="B192" s="8">
        <f>IF(A192="","",IFERROR(INDEX(แผนคลิป!$B:$B,MATCH(A192,แผนคลิป!$A:$A,0)),""))</f>
        <v/>
      </c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8">
        <f>IF(OR(D192="",H192=""),"",ABS(H192-D192))</f>
        <v/>
      </c>
      <c r="L192" s="8">
        <f>IF(OR(D192="",J192=""),"",ABS(J192-D192))</f>
        <v/>
      </c>
    </row>
    <row r="193">
      <c r="A193" s="17" t="n"/>
      <c r="B193" s="8">
        <f>IF(A193="","",IFERROR(INDEX(แผนคลิป!$B:$B,MATCH(A193,แผนคลิป!$A:$A,0)),""))</f>
        <v/>
      </c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8">
        <f>IF(OR(D193="",H193=""),"",ABS(H193-D193))</f>
        <v/>
      </c>
      <c r="L193" s="8">
        <f>IF(OR(D193="",J193=""),"",ABS(J193-D193))</f>
        <v/>
      </c>
    </row>
    <row r="194">
      <c r="A194" s="17" t="n"/>
      <c r="B194" s="8">
        <f>IF(A194="","",IFERROR(INDEX(แผนคลิป!$B:$B,MATCH(A194,แผนคลิป!$A:$A,0)),""))</f>
        <v/>
      </c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8">
        <f>IF(OR(D194="",H194=""),"",ABS(H194-D194))</f>
        <v/>
      </c>
      <c r="L194" s="8">
        <f>IF(OR(D194="",J194=""),"",ABS(J194-D194))</f>
        <v/>
      </c>
    </row>
    <row r="195">
      <c r="A195" s="17" t="n"/>
      <c r="B195" s="8">
        <f>IF(A195="","",IFERROR(INDEX(แผนคลิป!$B:$B,MATCH(A195,แผนคลิป!$A:$A,0)),""))</f>
        <v/>
      </c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8">
        <f>IF(OR(D195="",H195=""),"",ABS(H195-D195))</f>
        <v/>
      </c>
      <c r="L195" s="8">
        <f>IF(OR(D195="",J195=""),"",ABS(J195-D195))</f>
        <v/>
      </c>
    </row>
    <row r="196">
      <c r="A196" s="17" t="n"/>
      <c r="B196" s="8">
        <f>IF(A196="","",IFERROR(INDEX(แผนคลิป!$B:$B,MATCH(A196,แผนคลิป!$A:$A,0)),""))</f>
        <v/>
      </c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8">
        <f>IF(OR(D196="",H196=""),"",ABS(H196-D196))</f>
        <v/>
      </c>
      <c r="L196" s="8">
        <f>IF(OR(D196="",J196=""),"",ABS(J196-D196))</f>
        <v/>
      </c>
    </row>
    <row r="197">
      <c r="A197" s="17" t="n"/>
      <c r="B197" s="8">
        <f>IF(A197="","",IFERROR(INDEX(แผนคลิป!$B:$B,MATCH(A197,แผนคลิป!$A:$A,0)),""))</f>
        <v/>
      </c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8">
        <f>IF(OR(D197="",H197=""),"",ABS(H197-D197))</f>
        <v/>
      </c>
      <c r="L197" s="8">
        <f>IF(OR(D197="",J197=""),"",ABS(J197-D197))</f>
        <v/>
      </c>
    </row>
    <row r="198">
      <c r="A198" s="17" t="n"/>
      <c r="B198" s="8">
        <f>IF(A198="","",IFERROR(INDEX(แผนคลิป!$B:$B,MATCH(A198,แผนคลิป!$A:$A,0)),""))</f>
        <v/>
      </c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8">
        <f>IF(OR(D198="",H198=""),"",ABS(H198-D198))</f>
        <v/>
      </c>
      <c r="L198" s="8">
        <f>IF(OR(D198="",J198=""),"",ABS(J198-D198))</f>
        <v/>
      </c>
    </row>
    <row r="199">
      <c r="A199" s="17" t="n"/>
      <c r="B199" s="8">
        <f>IF(A199="","",IFERROR(INDEX(แผนคลิป!$B:$B,MATCH(A199,แผนคลิป!$A:$A,0)),""))</f>
        <v/>
      </c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8">
        <f>IF(OR(D199="",H199=""),"",ABS(H199-D199))</f>
        <v/>
      </c>
      <c r="L199" s="8">
        <f>IF(OR(D199="",J199=""),"",ABS(J199-D199))</f>
        <v/>
      </c>
    </row>
    <row r="200">
      <c r="A200" s="17" t="n"/>
      <c r="B200" s="8">
        <f>IF(A200="","",IFERROR(INDEX(แผนคลิป!$B:$B,MATCH(A200,แผนคลิป!$A:$A,0)),""))</f>
        <v/>
      </c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8">
        <f>IF(OR(D200="",H200=""),"",ABS(H200-D200))</f>
        <v/>
      </c>
      <c r="L200" s="8">
        <f>IF(OR(D200="",J200=""),"",ABS(J200-D200))</f>
        <v/>
      </c>
    </row>
    <row r="201">
      <c r="A201" s="17" t="n"/>
      <c r="B201" s="8">
        <f>IF(A201="","",IFERROR(INDEX(แผนคลิป!$B:$B,MATCH(A201,แผนคลิป!$A:$A,0)),""))</f>
        <v/>
      </c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8">
        <f>IF(OR(D201="",H201=""),"",ABS(H201-D201))</f>
        <v/>
      </c>
      <c r="L201" s="8">
        <f>IF(OR(D201="",J201=""),"",ABS(J201-D201))</f>
        <v/>
      </c>
    </row>
    <row r="202">
      <c r="A202" s="17" t="n"/>
      <c r="B202" s="8">
        <f>IF(A202="","",IFERROR(INDEX(แผนคลิป!$B:$B,MATCH(A202,แผนคลิป!$A:$A,0)),""))</f>
        <v/>
      </c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8">
        <f>IF(OR(D202="",H202=""),"",ABS(H202-D202))</f>
        <v/>
      </c>
      <c r="L202" s="8">
        <f>IF(OR(D202="",J202=""),"",ABS(J202-D202))</f>
        <v/>
      </c>
    </row>
    <row r="203">
      <c r="A203" s="17" t="n"/>
      <c r="B203" s="8">
        <f>IF(A203="","",IFERROR(INDEX(แผนคลิป!$B:$B,MATCH(A203,แผนคลิป!$A:$A,0)),""))</f>
        <v/>
      </c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8">
        <f>IF(OR(D203="",H203=""),"",ABS(H203-D203))</f>
        <v/>
      </c>
      <c r="L203" s="8">
        <f>IF(OR(D203="",J203=""),"",ABS(J203-D203))</f>
        <v/>
      </c>
    </row>
  </sheetData>
  <dataValidations count="3">
    <dataValidation sqref="C3:C203" showDropDown="0" showInputMessage="0" showErrorMessage="0" allowBlank="1" type="list">
      <formula1>=รายการ!$A$2:$A$16</formula1>
    </dataValidation>
    <dataValidation sqref="G3:G203" showDropDown="0" showInputMessage="0" showErrorMessage="0" allowBlank="1" type="list">
      <formula1>=รายการ!$C$2:$C$3</formula1>
    </dataValidation>
    <dataValidation sqref="I3:I203" showDropDown="0" showInputMessage="0" showErrorMessage="0" allowBlank="1" type="list">
      <formula1>=รายการ!$C$2:$C$3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9" customWidth="1" min="4" max="4"/>
    <col width="9" customWidth="1" min="5" max="5"/>
    <col width="28" customWidth="1" min="6" max="6"/>
    <col width="16" customWidth="1" min="7" max="7"/>
  </cols>
  <sheetData>
    <row r="1">
      <c r="A1" s="15" t="inlineStr">
        <is>
          <t>เฉลยคนที่ 2: จดแยกกันโดยไม่ดูชีตเฉลย · ตรง = คลิปเดียวกัน ประเภทเดียวกัน เวลาซ้อนกัน ±2 วิ</t>
        </is>
      </c>
    </row>
    <row r="2" ht="34" customHeight="1">
      <c r="A2" s="16" t="inlineStr">
        <is>
          <t>คลิป</t>
        </is>
      </c>
      <c r="B2" s="16" t="inlineStr">
        <is>
          <t>ภาษา (อัตโนมัติ)</t>
        </is>
      </c>
      <c r="C2" s="16" t="inlineStr">
        <is>
          <t>ประเภทปัญหา</t>
        </is>
      </c>
      <c r="D2" s="16" t="inlineStr">
        <is>
          <t>เริ่ม (วิ)</t>
        </is>
      </c>
      <c r="E2" s="16" t="inlineStr">
        <is>
          <t>จบ (วิ)</t>
        </is>
      </c>
      <c r="F2" s="16" t="inlineStr">
        <is>
          <t>หมายเหตุ</t>
        </is>
      </c>
      <c r="G2" s="16" t="inlineStr">
        <is>
          <t>ตรงกับเฉลยคนที่ 1 (อัตโนมัติ)</t>
        </is>
      </c>
    </row>
    <row r="3">
      <c r="A3" s="19" t="inlineStr">
        <is>
          <t>ตัวอย่าง</t>
        </is>
      </c>
      <c r="B3" s="19">
        <f>IF(A3="","",IFERROR(INDEX(แผนคลิป!$B:$B,MATCH(A3,แผนคลิป!$A:$A,0)),""))</f>
        <v/>
      </c>
      <c r="C3" s="19" t="inlineStr">
        <is>
          <t>ก้มหน้า</t>
        </is>
      </c>
      <c r="D3" s="19" t="n">
        <v>16</v>
      </c>
      <c r="E3" s="19" t="n">
        <v>24</v>
      </c>
      <c r="F3" s="19" t="inlineStr"/>
      <c r="G3" s="19">
        <f>IF(OR(A3="",C3=""),"",IF(D3="",IF(COUNTIFS(เฉลย!$A:$A,A3,เฉลย!$C:$C,C3)&gt;0,"Y","N"),IF(COUNTIFS(เฉลย!$A:$A,A3,เฉลย!$C:$C,C3,เฉลย!$D:$D,"&lt;="&amp;(N(E3)+2),เฉลย!$E:$E,"&gt;="&amp;(D3-2))&gt;0,"Y","N")))</f>
        <v/>
      </c>
    </row>
    <row r="4">
      <c r="A4" s="17" t="n"/>
      <c r="B4" s="8">
        <f>IF(A4="","",IFERROR(INDEX(แผนคลิป!$B:$B,MATCH(A4,แผนคลิป!$A:$A,0)),""))</f>
        <v/>
      </c>
      <c r="C4" s="17" t="n"/>
      <c r="D4" s="17" t="n"/>
      <c r="E4" s="17" t="n"/>
      <c r="F4" s="17" t="n"/>
      <c r="G4" s="8">
        <f>IF(OR(A4="",C4=""),"",IF(D4="",IF(COUNTIFS(เฉลย!$A:$A,A4,เฉลย!$C:$C,C4)&gt;0,"Y","N"),IF(COUNTIFS(เฉลย!$A:$A,A4,เฉลย!$C:$C,C4,เฉลย!$D:$D,"&lt;="&amp;(N(E4)+2),เฉลย!$E:$E,"&gt;="&amp;(D4-2))&gt;0,"Y","N")))</f>
        <v/>
      </c>
    </row>
    <row r="5">
      <c r="A5" s="17" t="n"/>
      <c r="B5" s="8">
        <f>IF(A5="","",IFERROR(INDEX(แผนคลิป!$B:$B,MATCH(A5,แผนคลิป!$A:$A,0)),""))</f>
        <v/>
      </c>
      <c r="C5" s="17" t="n"/>
      <c r="D5" s="17" t="n"/>
      <c r="E5" s="17" t="n"/>
      <c r="F5" s="17" t="n"/>
      <c r="G5" s="8">
        <f>IF(OR(A5="",C5=""),"",IF(D5="",IF(COUNTIFS(เฉลย!$A:$A,A5,เฉลย!$C:$C,C5)&gt;0,"Y","N"),IF(COUNTIFS(เฉลย!$A:$A,A5,เฉลย!$C:$C,C5,เฉลย!$D:$D,"&lt;="&amp;(N(E5)+2),เฉลย!$E:$E,"&gt;="&amp;(D5-2))&gt;0,"Y","N")))</f>
        <v/>
      </c>
    </row>
    <row r="6">
      <c r="A6" s="17" t="n"/>
      <c r="B6" s="8">
        <f>IF(A6="","",IFERROR(INDEX(แผนคลิป!$B:$B,MATCH(A6,แผนคลิป!$A:$A,0)),""))</f>
        <v/>
      </c>
      <c r="C6" s="17" t="n"/>
      <c r="D6" s="17" t="n"/>
      <c r="E6" s="17" t="n"/>
      <c r="F6" s="17" t="n"/>
      <c r="G6" s="8">
        <f>IF(OR(A6="",C6=""),"",IF(D6="",IF(COUNTIFS(เฉลย!$A:$A,A6,เฉลย!$C:$C,C6)&gt;0,"Y","N"),IF(COUNTIFS(เฉลย!$A:$A,A6,เฉลย!$C:$C,C6,เฉลย!$D:$D,"&lt;="&amp;(N(E6)+2),เฉลย!$E:$E,"&gt;="&amp;(D6-2))&gt;0,"Y","N")))</f>
        <v/>
      </c>
    </row>
    <row r="7">
      <c r="A7" s="17" t="n"/>
      <c r="B7" s="8">
        <f>IF(A7="","",IFERROR(INDEX(แผนคลิป!$B:$B,MATCH(A7,แผนคลิป!$A:$A,0)),""))</f>
        <v/>
      </c>
      <c r="C7" s="17" t="n"/>
      <c r="D7" s="17" t="n"/>
      <c r="E7" s="17" t="n"/>
      <c r="F7" s="17" t="n"/>
      <c r="G7" s="8">
        <f>IF(OR(A7="",C7=""),"",IF(D7="",IF(COUNTIFS(เฉลย!$A:$A,A7,เฉลย!$C:$C,C7)&gt;0,"Y","N"),IF(COUNTIFS(เฉลย!$A:$A,A7,เฉลย!$C:$C,C7,เฉลย!$D:$D,"&lt;="&amp;(N(E7)+2),เฉลย!$E:$E,"&gt;="&amp;(D7-2))&gt;0,"Y","N")))</f>
        <v/>
      </c>
    </row>
    <row r="8">
      <c r="A8" s="17" t="n"/>
      <c r="B8" s="8">
        <f>IF(A8="","",IFERROR(INDEX(แผนคลิป!$B:$B,MATCH(A8,แผนคลิป!$A:$A,0)),""))</f>
        <v/>
      </c>
      <c r="C8" s="17" t="n"/>
      <c r="D8" s="17" t="n"/>
      <c r="E8" s="17" t="n"/>
      <c r="F8" s="17" t="n"/>
      <c r="G8" s="8">
        <f>IF(OR(A8="",C8=""),"",IF(D8="",IF(COUNTIFS(เฉลย!$A:$A,A8,เฉลย!$C:$C,C8)&gt;0,"Y","N"),IF(COUNTIFS(เฉลย!$A:$A,A8,เฉลย!$C:$C,C8,เฉลย!$D:$D,"&lt;="&amp;(N(E8)+2),เฉลย!$E:$E,"&gt;="&amp;(D8-2))&gt;0,"Y","N")))</f>
        <v/>
      </c>
    </row>
    <row r="9">
      <c r="A9" s="17" t="n"/>
      <c r="B9" s="8">
        <f>IF(A9="","",IFERROR(INDEX(แผนคลิป!$B:$B,MATCH(A9,แผนคลิป!$A:$A,0)),""))</f>
        <v/>
      </c>
      <c r="C9" s="17" t="n"/>
      <c r="D9" s="17" t="n"/>
      <c r="E9" s="17" t="n"/>
      <c r="F9" s="17" t="n"/>
      <c r="G9" s="8">
        <f>IF(OR(A9="",C9=""),"",IF(D9="",IF(COUNTIFS(เฉลย!$A:$A,A9,เฉลย!$C:$C,C9)&gt;0,"Y","N"),IF(COUNTIFS(เฉลย!$A:$A,A9,เฉลย!$C:$C,C9,เฉลย!$D:$D,"&lt;="&amp;(N(E9)+2),เฉลย!$E:$E,"&gt;="&amp;(D9-2))&gt;0,"Y","N")))</f>
        <v/>
      </c>
    </row>
    <row r="10">
      <c r="A10" s="17" t="n"/>
      <c r="B10" s="8">
        <f>IF(A10="","",IFERROR(INDEX(แผนคลิป!$B:$B,MATCH(A10,แผนคลิป!$A:$A,0)),""))</f>
        <v/>
      </c>
      <c r="C10" s="17" t="n"/>
      <c r="D10" s="17" t="n"/>
      <c r="E10" s="17" t="n"/>
      <c r="F10" s="17" t="n"/>
      <c r="G10" s="8">
        <f>IF(OR(A10="",C10=""),"",IF(D10="",IF(COUNTIFS(เฉลย!$A:$A,A10,เฉลย!$C:$C,C10)&gt;0,"Y","N"),IF(COUNTIFS(เฉลย!$A:$A,A10,เฉลย!$C:$C,C10,เฉลย!$D:$D,"&lt;="&amp;(N(E10)+2),เฉลย!$E:$E,"&gt;="&amp;(D10-2))&gt;0,"Y","N")))</f>
        <v/>
      </c>
    </row>
    <row r="11">
      <c r="A11" s="17" t="n"/>
      <c r="B11" s="8">
        <f>IF(A11="","",IFERROR(INDEX(แผนคลิป!$B:$B,MATCH(A11,แผนคลิป!$A:$A,0)),""))</f>
        <v/>
      </c>
      <c r="C11" s="17" t="n"/>
      <c r="D11" s="17" t="n"/>
      <c r="E11" s="17" t="n"/>
      <c r="F11" s="17" t="n"/>
      <c r="G11" s="8">
        <f>IF(OR(A11="",C11=""),"",IF(D11="",IF(COUNTIFS(เฉลย!$A:$A,A11,เฉลย!$C:$C,C11)&gt;0,"Y","N"),IF(COUNTIFS(เฉลย!$A:$A,A11,เฉลย!$C:$C,C11,เฉลย!$D:$D,"&lt;="&amp;(N(E11)+2),เฉลย!$E:$E,"&gt;="&amp;(D11-2))&gt;0,"Y","N")))</f>
        <v/>
      </c>
    </row>
    <row r="12">
      <c r="A12" s="17" t="n"/>
      <c r="B12" s="8">
        <f>IF(A12="","",IFERROR(INDEX(แผนคลิป!$B:$B,MATCH(A12,แผนคลิป!$A:$A,0)),""))</f>
        <v/>
      </c>
      <c r="C12" s="17" t="n"/>
      <c r="D12" s="17" t="n"/>
      <c r="E12" s="17" t="n"/>
      <c r="F12" s="17" t="n"/>
      <c r="G12" s="8">
        <f>IF(OR(A12="",C12=""),"",IF(D12="",IF(COUNTIFS(เฉลย!$A:$A,A12,เฉลย!$C:$C,C12)&gt;0,"Y","N"),IF(COUNTIFS(เฉลย!$A:$A,A12,เฉลย!$C:$C,C12,เฉลย!$D:$D,"&lt;="&amp;(N(E12)+2),เฉลย!$E:$E,"&gt;="&amp;(D12-2))&gt;0,"Y","N")))</f>
        <v/>
      </c>
    </row>
    <row r="13">
      <c r="A13" s="17" t="n"/>
      <c r="B13" s="8">
        <f>IF(A13="","",IFERROR(INDEX(แผนคลิป!$B:$B,MATCH(A13,แผนคลิป!$A:$A,0)),""))</f>
        <v/>
      </c>
      <c r="C13" s="17" t="n"/>
      <c r="D13" s="17" t="n"/>
      <c r="E13" s="17" t="n"/>
      <c r="F13" s="17" t="n"/>
      <c r="G13" s="8">
        <f>IF(OR(A13="",C13=""),"",IF(D13="",IF(COUNTIFS(เฉลย!$A:$A,A13,เฉลย!$C:$C,C13)&gt;0,"Y","N"),IF(COUNTIFS(เฉลย!$A:$A,A13,เฉลย!$C:$C,C13,เฉลย!$D:$D,"&lt;="&amp;(N(E13)+2),เฉลย!$E:$E,"&gt;="&amp;(D13-2))&gt;0,"Y","N")))</f>
        <v/>
      </c>
    </row>
    <row r="14">
      <c r="A14" s="17" t="n"/>
      <c r="B14" s="8">
        <f>IF(A14="","",IFERROR(INDEX(แผนคลิป!$B:$B,MATCH(A14,แผนคลิป!$A:$A,0)),""))</f>
        <v/>
      </c>
      <c r="C14" s="17" t="n"/>
      <c r="D14" s="17" t="n"/>
      <c r="E14" s="17" t="n"/>
      <c r="F14" s="17" t="n"/>
      <c r="G14" s="8">
        <f>IF(OR(A14="",C14=""),"",IF(D14="",IF(COUNTIFS(เฉลย!$A:$A,A14,เฉลย!$C:$C,C14)&gt;0,"Y","N"),IF(COUNTIFS(เฉลย!$A:$A,A14,เฉลย!$C:$C,C14,เฉลย!$D:$D,"&lt;="&amp;(N(E14)+2),เฉลย!$E:$E,"&gt;="&amp;(D14-2))&gt;0,"Y","N")))</f>
        <v/>
      </c>
    </row>
    <row r="15">
      <c r="A15" s="17" t="n"/>
      <c r="B15" s="8">
        <f>IF(A15="","",IFERROR(INDEX(แผนคลิป!$B:$B,MATCH(A15,แผนคลิป!$A:$A,0)),""))</f>
        <v/>
      </c>
      <c r="C15" s="17" t="n"/>
      <c r="D15" s="17" t="n"/>
      <c r="E15" s="17" t="n"/>
      <c r="F15" s="17" t="n"/>
      <c r="G15" s="8">
        <f>IF(OR(A15="",C15=""),"",IF(D15="",IF(COUNTIFS(เฉลย!$A:$A,A15,เฉลย!$C:$C,C15)&gt;0,"Y","N"),IF(COUNTIFS(เฉลย!$A:$A,A15,เฉลย!$C:$C,C15,เฉลย!$D:$D,"&lt;="&amp;(N(E15)+2),เฉลย!$E:$E,"&gt;="&amp;(D15-2))&gt;0,"Y","N")))</f>
        <v/>
      </c>
    </row>
    <row r="16">
      <c r="A16" s="17" t="n"/>
      <c r="B16" s="8">
        <f>IF(A16="","",IFERROR(INDEX(แผนคลิป!$B:$B,MATCH(A16,แผนคลิป!$A:$A,0)),""))</f>
        <v/>
      </c>
      <c r="C16" s="17" t="n"/>
      <c r="D16" s="17" t="n"/>
      <c r="E16" s="17" t="n"/>
      <c r="F16" s="17" t="n"/>
      <c r="G16" s="8">
        <f>IF(OR(A16="",C16=""),"",IF(D16="",IF(COUNTIFS(เฉลย!$A:$A,A16,เฉลย!$C:$C,C16)&gt;0,"Y","N"),IF(COUNTIFS(เฉลย!$A:$A,A16,เฉลย!$C:$C,C16,เฉลย!$D:$D,"&lt;="&amp;(N(E16)+2),เฉลย!$E:$E,"&gt;="&amp;(D16-2))&gt;0,"Y","N")))</f>
        <v/>
      </c>
    </row>
    <row r="17">
      <c r="A17" s="17" t="n"/>
      <c r="B17" s="8">
        <f>IF(A17="","",IFERROR(INDEX(แผนคลิป!$B:$B,MATCH(A17,แผนคลิป!$A:$A,0)),""))</f>
        <v/>
      </c>
      <c r="C17" s="17" t="n"/>
      <c r="D17" s="17" t="n"/>
      <c r="E17" s="17" t="n"/>
      <c r="F17" s="17" t="n"/>
      <c r="G17" s="8">
        <f>IF(OR(A17="",C17=""),"",IF(D17="",IF(COUNTIFS(เฉลย!$A:$A,A17,เฉลย!$C:$C,C17)&gt;0,"Y","N"),IF(COUNTIFS(เฉลย!$A:$A,A17,เฉลย!$C:$C,C17,เฉลย!$D:$D,"&lt;="&amp;(N(E17)+2),เฉลย!$E:$E,"&gt;="&amp;(D17-2))&gt;0,"Y","N")))</f>
        <v/>
      </c>
    </row>
    <row r="18">
      <c r="A18" s="17" t="n"/>
      <c r="B18" s="8">
        <f>IF(A18="","",IFERROR(INDEX(แผนคลิป!$B:$B,MATCH(A18,แผนคลิป!$A:$A,0)),""))</f>
        <v/>
      </c>
      <c r="C18" s="17" t="n"/>
      <c r="D18" s="17" t="n"/>
      <c r="E18" s="17" t="n"/>
      <c r="F18" s="17" t="n"/>
      <c r="G18" s="8">
        <f>IF(OR(A18="",C18=""),"",IF(D18="",IF(COUNTIFS(เฉลย!$A:$A,A18,เฉลย!$C:$C,C18)&gt;0,"Y","N"),IF(COUNTIFS(เฉลย!$A:$A,A18,เฉลย!$C:$C,C18,เฉลย!$D:$D,"&lt;="&amp;(N(E18)+2),เฉลย!$E:$E,"&gt;="&amp;(D18-2))&gt;0,"Y","N")))</f>
        <v/>
      </c>
    </row>
    <row r="19">
      <c r="A19" s="17" t="n"/>
      <c r="B19" s="8">
        <f>IF(A19="","",IFERROR(INDEX(แผนคลิป!$B:$B,MATCH(A19,แผนคลิป!$A:$A,0)),""))</f>
        <v/>
      </c>
      <c r="C19" s="17" t="n"/>
      <c r="D19" s="17" t="n"/>
      <c r="E19" s="17" t="n"/>
      <c r="F19" s="17" t="n"/>
      <c r="G19" s="8">
        <f>IF(OR(A19="",C19=""),"",IF(D19="",IF(COUNTIFS(เฉลย!$A:$A,A19,เฉลย!$C:$C,C19)&gt;0,"Y","N"),IF(COUNTIFS(เฉลย!$A:$A,A19,เฉลย!$C:$C,C19,เฉลย!$D:$D,"&lt;="&amp;(N(E19)+2),เฉลย!$E:$E,"&gt;="&amp;(D19-2))&gt;0,"Y","N")))</f>
        <v/>
      </c>
    </row>
    <row r="20">
      <c r="A20" s="17" t="n"/>
      <c r="B20" s="8">
        <f>IF(A20="","",IFERROR(INDEX(แผนคลิป!$B:$B,MATCH(A20,แผนคลิป!$A:$A,0)),""))</f>
        <v/>
      </c>
      <c r="C20" s="17" t="n"/>
      <c r="D20" s="17" t="n"/>
      <c r="E20" s="17" t="n"/>
      <c r="F20" s="17" t="n"/>
      <c r="G20" s="8">
        <f>IF(OR(A20="",C20=""),"",IF(D20="",IF(COUNTIFS(เฉลย!$A:$A,A20,เฉลย!$C:$C,C20)&gt;0,"Y","N"),IF(COUNTIFS(เฉลย!$A:$A,A20,เฉลย!$C:$C,C20,เฉลย!$D:$D,"&lt;="&amp;(N(E20)+2),เฉลย!$E:$E,"&gt;="&amp;(D20-2))&gt;0,"Y","N")))</f>
        <v/>
      </c>
    </row>
    <row r="21">
      <c r="A21" s="17" t="n"/>
      <c r="B21" s="8">
        <f>IF(A21="","",IFERROR(INDEX(แผนคลิป!$B:$B,MATCH(A21,แผนคลิป!$A:$A,0)),""))</f>
        <v/>
      </c>
      <c r="C21" s="17" t="n"/>
      <c r="D21" s="17" t="n"/>
      <c r="E21" s="17" t="n"/>
      <c r="F21" s="17" t="n"/>
      <c r="G21" s="8">
        <f>IF(OR(A21="",C21=""),"",IF(D21="",IF(COUNTIFS(เฉลย!$A:$A,A21,เฉลย!$C:$C,C21)&gt;0,"Y","N"),IF(COUNTIFS(เฉลย!$A:$A,A21,เฉลย!$C:$C,C21,เฉลย!$D:$D,"&lt;="&amp;(N(E21)+2),เฉลย!$E:$E,"&gt;="&amp;(D21-2))&gt;0,"Y","N")))</f>
        <v/>
      </c>
    </row>
    <row r="22">
      <c r="A22" s="17" t="n"/>
      <c r="B22" s="8">
        <f>IF(A22="","",IFERROR(INDEX(แผนคลิป!$B:$B,MATCH(A22,แผนคลิป!$A:$A,0)),""))</f>
        <v/>
      </c>
      <c r="C22" s="17" t="n"/>
      <c r="D22" s="17" t="n"/>
      <c r="E22" s="17" t="n"/>
      <c r="F22" s="17" t="n"/>
      <c r="G22" s="8">
        <f>IF(OR(A22="",C22=""),"",IF(D22="",IF(COUNTIFS(เฉลย!$A:$A,A22,เฉลย!$C:$C,C22)&gt;0,"Y","N"),IF(COUNTIFS(เฉลย!$A:$A,A22,เฉลย!$C:$C,C22,เฉลย!$D:$D,"&lt;="&amp;(N(E22)+2),เฉลย!$E:$E,"&gt;="&amp;(D22-2))&gt;0,"Y","N")))</f>
        <v/>
      </c>
    </row>
    <row r="23">
      <c r="A23" s="17" t="n"/>
      <c r="B23" s="8">
        <f>IF(A23="","",IFERROR(INDEX(แผนคลิป!$B:$B,MATCH(A23,แผนคลิป!$A:$A,0)),""))</f>
        <v/>
      </c>
      <c r="C23" s="17" t="n"/>
      <c r="D23" s="17" t="n"/>
      <c r="E23" s="17" t="n"/>
      <c r="F23" s="17" t="n"/>
      <c r="G23" s="8">
        <f>IF(OR(A23="",C23=""),"",IF(D23="",IF(COUNTIFS(เฉลย!$A:$A,A23,เฉลย!$C:$C,C23)&gt;0,"Y","N"),IF(COUNTIFS(เฉลย!$A:$A,A23,เฉลย!$C:$C,C23,เฉลย!$D:$D,"&lt;="&amp;(N(E23)+2),เฉลย!$E:$E,"&gt;="&amp;(D23-2))&gt;0,"Y","N")))</f>
        <v/>
      </c>
    </row>
    <row r="24">
      <c r="A24" s="17" t="n"/>
      <c r="B24" s="8">
        <f>IF(A24="","",IFERROR(INDEX(แผนคลิป!$B:$B,MATCH(A24,แผนคลิป!$A:$A,0)),""))</f>
        <v/>
      </c>
      <c r="C24" s="17" t="n"/>
      <c r="D24" s="17" t="n"/>
      <c r="E24" s="17" t="n"/>
      <c r="F24" s="17" t="n"/>
      <c r="G24" s="8">
        <f>IF(OR(A24="",C24=""),"",IF(D24="",IF(COUNTIFS(เฉลย!$A:$A,A24,เฉลย!$C:$C,C24)&gt;0,"Y","N"),IF(COUNTIFS(เฉลย!$A:$A,A24,เฉลย!$C:$C,C24,เฉลย!$D:$D,"&lt;="&amp;(N(E24)+2),เฉลย!$E:$E,"&gt;="&amp;(D24-2))&gt;0,"Y","N")))</f>
        <v/>
      </c>
    </row>
    <row r="25">
      <c r="A25" s="17" t="n"/>
      <c r="B25" s="8">
        <f>IF(A25="","",IFERROR(INDEX(แผนคลิป!$B:$B,MATCH(A25,แผนคลิป!$A:$A,0)),""))</f>
        <v/>
      </c>
      <c r="C25" s="17" t="n"/>
      <c r="D25" s="17" t="n"/>
      <c r="E25" s="17" t="n"/>
      <c r="F25" s="17" t="n"/>
      <c r="G25" s="8">
        <f>IF(OR(A25="",C25=""),"",IF(D25="",IF(COUNTIFS(เฉลย!$A:$A,A25,เฉลย!$C:$C,C25)&gt;0,"Y","N"),IF(COUNTIFS(เฉลย!$A:$A,A25,เฉลย!$C:$C,C25,เฉลย!$D:$D,"&lt;="&amp;(N(E25)+2),เฉลย!$E:$E,"&gt;="&amp;(D25-2))&gt;0,"Y","N")))</f>
        <v/>
      </c>
    </row>
    <row r="26">
      <c r="A26" s="17" t="n"/>
      <c r="B26" s="8">
        <f>IF(A26="","",IFERROR(INDEX(แผนคลิป!$B:$B,MATCH(A26,แผนคลิป!$A:$A,0)),""))</f>
        <v/>
      </c>
      <c r="C26" s="17" t="n"/>
      <c r="D26" s="17" t="n"/>
      <c r="E26" s="17" t="n"/>
      <c r="F26" s="17" t="n"/>
      <c r="G26" s="8">
        <f>IF(OR(A26="",C26=""),"",IF(D26="",IF(COUNTIFS(เฉลย!$A:$A,A26,เฉลย!$C:$C,C26)&gt;0,"Y","N"),IF(COUNTIFS(เฉลย!$A:$A,A26,เฉลย!$C:$C,C26,เฉลย!$D:$D,"&lt;="&amp;(N(E26)+2),เฉลย!$E:$E,"&gt;="&amp;(D26-2))&gt;0,"Y","N")))</f>
        <v/>
      </c>
    </row>
    <row r="27">
      <c r="A27" s="17" t="n"/>
      <c r="B27" s="8">
        <f>IF(A27="","",IFERROR(INDEX(แผนคลิป!$B:$B,MATCH(A27,แผนคลิป!$A:$A,0)),""))</f>
        <v/>
      </c>
      <c r="C27" s="17" t="n"/>
      <c r="D27" s="17" t="n"/>
      <c r="E27" s="17" t="n"/>
      <c r="F27" s="17" t="n"/>
      <c r="G27" s="8">
        <f>IF(OR(A27="",C27=""),"",IF(D27="",IF(COUNTIFS(เฉลย!$A:$A,A27,เฉลย!$C:$C,C27)&gt;0,"Y","N"),IF(COUNTIFS(เฉลย!$A:$A,A27,เฉลย!$C:$C,C27,เฉลย!$D:$D,"&lt;="&amp;(N(E27)+2),เฉลย!$E:$E,"&gt;="&amp;(D27-2))&gt;0,"Y","N")))</f>
        <v/>
      </c>
    </row>
    <row r="28">
      <c r="A28" s="17" t="n"/>
      <c r="B28" s="8">
        <f>IF(A28="","",IFERROR(INDEX(แผนคลิป!$B:$B,MATCH(A28,แผนคลิป!$A:$A,0)),""))</f>
        <v/>
      </c>
      <c r="C28" s="17" t="n"/>
      <c r="D28" s="17" t="n"/>
      <c r="E28" s="17" t="n"/>
      <c r="F28" s="17" t="n"/>
      <c r="G28" s="8">
        <f>IF(OR(A28="",C28=""),"",IF(D28="",IF(COUNTIFS(เฉลย!$A:$A,A28,เฉลย!$C:$C,C28)&gt;0,"Y","N"),IF(COUNTIFS(เฉลย!$A:$A,A28,เฉลย!$C:$C,C28,เฉลย!$D:$D,"&lt;="&amp;(N(E28)+2),เฉลย!$E:$E,"&gt;="&amp;(D28-2))&gt;0,"Y","N")))</f>
        <v/>
      </c>
    </row>
    <row r="29">
      <c r="A29" s="17" t="n"/>
      <c r="B29" s="8">
        <f>IF(A29="","",IFERROR(INDEX(แผนคลิป!$B:$B,MATCH(A29,แผนคลิป!$A:$A,0)),""))</f>
        <v/>
      </c>
      <c r="C29" s="17" t="n"/>
      <c r="D29" s="17" t="n"/>
      <c r="E29" s="17" t="n"/>
      <c r="F29" s="17" t="n"/>
      <c r="G29" s="8">
        <f>IF(OR(A29="",C29=""),"",IF(D29="",IF(COUNTIFS(เฉลย!$A:$A,A29,เฉลย!$C:$C,C29)&gt;0,"Y","N"),IF(COUNTIFS(เฉลย!$A:$A,A29,เฉลย!$C:$C,C29,เฉลย!$D:$D,"&lt;="&amp;(N(E29)+2),เฉลย!$E:$E,"&gt;="&amp;(D29-2))&gt;0,"Y","N")))</f>
        <v/>
      </c>
    </row>
    <row r="30">
      <c r="A30" s="17" t="n"/>
      <c r="B30" s="8">
        <f>IF(A30="","",IFERROR(INDEX(แผนคลิป!$B:$B,MATCH(A30,แผนคลิป!$A:$A,0)),""))</f>
        <v/>
      </c>
      <c r="C30" s="17" t="n"/>
      <c r="D30" s="17" t="n"/>
      <c r="E30" s="17" t="n"/>
      <c r="F30" s="17" t="n"/>
      <c r="G30" s="8">
        <f>IF(OR(A30="",C30=""),"",IF(D30="",IF(COUNTIFS(เฉลย!$A:$A,A30,เฉลย!$C:$C,C30)&gt;0,"Y","N"),IF(COUNTIFS(เฉลย!$A:$A,A30,เฉลย!$C:$C,C30,เฉลย!$D:$D,"&lt;="&amp;(N(E30)+2),เฉลย!$E:$E,"&gt;="&amp;(D30-2))&gt;0,"Y","N")))</f>
        <v/>
      </c>
    </row>
    <row r="31">
      <c r="A31" s="17" t="n"/>
      <c r="B31" s="8">
        <f>IF(A31="","",IFERROR(INDEX(แผนคลิป!$B:$B,MATCH(A31,แผนคลิป!$A:$A,0)),""))</f>
        <v/>
      </c>
      <c r="C31" s="17" t="n"/>
      <c r="D31" s="17" t="n"/>
      <c r="E31" s="17" t="n"/>
      <c r="F31" s="17" t="n"/>
      <c r="G31" s="8">
        <f>IF(OR(A31="",C31=""),"",IF(D31="",IF(COUNTIFS(เฉลย!$A:$A,A31,เฉลย!$C:$C,C31)&gt;0,"Y","N"),IF(COUNTIFS(เฉลย!$A:$A,A31,เฉลย!$C:$C,C31,เฉลย!$D:$D,"&lt;="&amp;(N(E31)+2),เฉลย!$E:$E,"&gt;="&amp;(D31-2))&gt;0,"Y","N")))</f>
        <v/>
      </c>
    </row>
    <row r="32">
      <c r="A32" s="17" t="n"/>
      <c r="B32" s="8">
        <f>IF(A32="","",IFERROR(INDEX(แผนคลิป!$B:$B,MATCH(A32,แผนคลิป!$A:$A,0)),""))</f>
        <v/>
      </c>
      <c r="C32" s="17" t="n"/>
      <c r="D32" s="17" t="n"/>
      <c r="E32" s="17" t="n"/>
      <c r="F32" s="17" t="n"/>
      <c r="G32" s="8">
        <f>IF(OR(A32="",C32=""),"",IF(D32="",IF(COUNTIFS(เฉลย!$A:$A,A32,เฉลย!$C:$C,C32)&gt;0,"Y","N"),IF(COUNTIFS(เฉลย!$A:$A,A32,เฉลย!$C:$C,C32,เฉลย!$D:$D,"&lt;="&amp;(N(E32)+2),เฉลย!$E:$E,"&gt;="&amp;(D32-2))&gt;0,"Y","N")))</f>
        <v/>
      </c>
    </row>
    <row r="33">
      <c r="A33" s="17" t="n"/>
      <c r="B33" s="8">
        <f>IF(A33="","",IFERROR(INDEX(แผนคลิป!$B:$B,MATCH(A33,แผนคลิป!$A:$A,0)),""))</f>
        <v/>
      </c>
      <c r="C33" s="17" t="n"/>
      <c r="D33" s="17" t="n"/>
      <c r="E33" s="17" t="n"/>
      <c r="F33" s="17" t="n"/>
      <c r="G33" s="8">
        <f>IF(OR(A33="",C33=""),"",IF(D33="",IF(COUNTIFS(เฉลย!$A:$A,A33,เฉลย!$C:$C,C33)&gt;0,"Y","N"),IF(COUNTIFS(เฉลย!$A:$A,A33,เฉลย!$C:$C,C33,เฉลย!$D:$D,"&lt;="&amp;(N(E33)+2),เฉลย!$E:$E,"&gt;="&amp;(D33-2))&gt;0,"Y","N")))</f>
        <v/>
      </c>
    </row>
    <row r="34">
      <c r="A34" s="17" t="n"/>
      <c r="B34" s="8">
        <f>IF(A34="","",IFERROR(INDEX(แผนคลิป!$B:$B,MATCH(A34,แผนคลิป!$A:$A,0)),""))</f>
        <v/>
      </c>
      <c r="C34" s="17" t="n"/>
      <c r="D34" s="17" t="n"/>
      <c r="E34" s="17" t="n"/>
      <c r="F34" s="17" t="n"/>
      <c r="G34" s="8">
        <f>IF(OR(A34="",C34=""),"",IF(D34="",IF(COUNTIFS(เฉลย!$A:$A,A34,เฉลย!$C:$C,C34)&gt;0,"Y","N"),IF(COUNTIFS(เฉลย!$A:$A,A34,เฉลย!$C:$C,C34,เฉลย!$D:$D,"&lt;="&amp;(N(E34)+2),เฉลย!$E:$E,"&gt;="&amp;(D34-2))&gt;0,"Y","N")))</f>
        <v/>
      </c>
    </row>
    <row r="35">
      <c r="A35" s="17" t="n"/>
      <c r="B35" s="8">
        <f>IF(A35="","",IFERROR(INDEX(แผนคลิป!$B:$B,MATCH(A35,แผนคลิป!$A:$A,0)),""))</f>
        <v/>
      </c>
      <c r="C35" s="17" t="n"/>
      <c r="D35" s="17" t="n"/>
      <c r="E35" s="17" t="n"/>
      <c r="F35" s="17" t="n"/>
      <c r="G35" s="8">
        <f>IF(OR(A35="",C35=""),"",IF(D35="",IF(COUNTIFS(เฉลย!$A:$A,A35,เฉลย!$C:$C,C35)&gt;0,"Y","N"),IF(COUNTIFS(เฉลย!$A:$A,A35,เฉลย!$C:$C,C35,เฉลย!$D:$D,"&lt;="&amp;(N(E35)+2),เฉลย!$E:$E,"&gt;="&amp;(D35-2))&gt;0,"Y","N")))</f>
        <v/>
      </c>
    </row>
    <row r="36">
      <c r="A36" s="17" t="n"/>
      <c r="B36" s="8">
        <f>IF(A36="","",IFERROR(INDEX(แผนคลิป!$B:$B,MATCH(A36,แผนคลิป!$A:$A,0)),""))</f>
        <v/>
      </c>
      <c r="C36" s="17" t="n"/>
      <c r="D36" s="17" t="n"/>
      <c r="E36" s="17" t="n"/>
      <c r="F36" s="17" t="n"/>
      <c r="G36" s="8">
        <f>IF(OR(A36="",C36=""),"",IF(D36="",IF(COUNTIFS(เฉลย!$A:$A,A36,เฉลย!$C:$C,C36)&gt;0,"Y","N"),IF(COUNTIFS(เฉลย!$A:$A,A36,เฉลย!$C:$C,C36,เฉลย!$D:$D,"&lt;="&amp;(N(E36)+2),เฉลย!$E:$E,"&gt;="&amp;(D36-2))&gt;0,"Y","N")))</f>
        <v/>
      </c>
    </row>
    <row r="37">
      <c r="A37" s="17" t="n"/>
      <c r="B37" s="8">
        <f>IF(A37="","",IFERROR(INDEX(แผนคลิป!$B:$B,MATCH(A37,แผนคลิป!$A:$A,0)),""))</f>
        <v/>
      </c>
      <c r="C37" s="17" t="n"/>
      <c r="D37" s="17" t="n"/>
      <c r="E37" s="17" t="n"/>
      <c r="F37" s="17" t="n"/>
      <c r="G37" s="8">
        <f>IF(OR(A37="",C37=""),"",IF(D37="",IF(COUNTIFS(เฉลย!$A:$A,A37,เฉลย!$C:$C,C37)&gt;0,"Y","N"),IF(COUNTIFS(เฉลย!$A:$A,A37,เฉลย!$C:$C,C37,เฉลย!$D:$D,"&lt;="&amp;(N(E37)+2),เฉลย!$E:$E,"&gt;="&amp;(D37-2))&gt;0,"Y","N")))</f>
        <v/>
      </c>
    </row>
    <row r="38">
      <c r="A38" s="17" t="n"/>
      <c r="B38" s="8">
        <f>IF(A38="","",IFERROR(INDEX(แผนคลิป!$B:$B,MATCH(A38,แผนคลิป!$A:$A,0)),""))</f>
        <v/>
      </c>
      <c r="C38" s="17" t="n"/>
      <c r="D38" s="17" t="n"/>
      <c r="E38" s="17" t="n"/>
      <c r="F38" s="17" t="n"/>
      <c r="G38" s="8">
        <f>IF(OR(A38="",C38=""),"",IF(D38="",IF(COUNTIFS(เฉลย!$A:$A,A38,เฉลย!$C:$C,C38)&gt;0,"Y","N"),IF(COUNTIFS(เฉลย!$A:$A,A38,เฉลย!$C:$C,C38,เฉลย!$D:$D,"&lt;="&amp;(N(E38)+2),เฉลย!$E:$E,"&gt;="&amp;(D38-2))&gt;0,"Y","N")))</f>
        <v/>
      </c>
    </row>
    <row r="39">
      <c r="A39" s="17" t="n"/>
      <c r="B39" s="8">
        <f>IF(A39="","",IFERROR(INDEX(แผนคลิป!$B:$B,MATCH(A39,แผนคลิป!$A:$A,0)),""))</f>
        <v/>
      </c>
      <c r="C39" s="17" t="n"/>
      <c r="D39" s="17" t="n"/>
      <c r="E39" s="17" t="n"/>
      <c r="F39" s="17" t="n"/>
      <c r="G39" s="8">
        <f>IF(OR(A39="",C39=""),"",IF(D39="",IF(COUNTIFS(เฉลย!$A:$A,A39,เฉลย!$C:$C,C39)&gt;0,"Y","N"),IF(COUNTIFS(เฉลย!$A:$A,A39,เฉลย!$C:$C,C39,เฉลย!$D:$D,"&lt;="&amp;(N(E39)+2),เฉลย!$E:$E,"&gt;="&amp;(D39-2))&gt;0,"Y","N")))</f>
        <v/>
      </c>
    </row>
    <row r="40">
      <c r="A40" s="17" t="n"/>
      <c r="B40" s="8">
        <f>IF(A40="","",IFERROR(INDEX(แผนคลิป!$B:$B,MATCH(A40,แผนคลิป!$A:$A,0)),""))</f>
        <v/>
      </c>
      <c r="C40" s="17" t="n"/>
      <c r="D40" s="17" t="n"/>
      <c r="E40" s="17" t="n"/>
      <c r="F40" s="17" t="n"/>
      <c r="G40" s="8">
        <f>IF(OR(A40="",C40=""),"",IF(D40="",IF(COUNTIFS(เฉลย!$A:$A,A40,เฉลย!$C:$C,C40)&gt;0,"Y","N"),IF(COUNTIFS(เฉลย!$A:$A,A40,เฉลย!$C:$C,C40,เฉลย!$D:$D,"&lt;="&amp;(N(E40)+2),เฉลย!$E:$E,"&gt;="&amp;(D40-2))&gt;0,"Y","N")))</f>
        <v/>
      </c>
    </row>
    <row r="41">
      <c r="A41" s="17" t="n"/>
      <c r="B41" s="8">
        <f>IF(A41="","",IFERROR(INDEX(แผนคลิป!$B:$B,MATCH(A41,แผนคลิป!$A:$A,0)),""))</f>
        <v/>
      </c>
      <c r="C41" s="17" t="n"/>
      <c r="D41" s="17" t="n"/>
      <c r="E41" s="17" t="n"/>
      <c r="F41" s="17" t="n"/>
      <c r="G41" s="8">
        <f>IF(OR(A41="",C41=""),"",IF(D41="",IF(COUNTIFS(เฉลย!$A:$A,A41,เฉลย!$C:$C,C41)&gt;0,"Y","N"),IF(COUNTIFS(เฉลย!$A:$A,A41,เฉลย!$C:$C,C41,เฉลย!$D:$D,"&lt;="&amp;(N(E41)+2),เฉลย!$E:$E,"&gt;="&amp;(D41-2))&gt;0,"Y","N")))</f>
        <v/>
      </c>
    </row>
    <row r="42">
      <c r="A42" s="17" t="n"/>
      <c r="B42" s="8">
        <f>IF(A42="","",IFERROR(INDEX(แผนคลิป!$B:$B,MATCH(A42,แผนคลิป!$A:$A,0)),""))</f>
        <v/>
      </c>
      <c r="C42" s="17" t="n"/>
      <c r="D42" s="17" t="n"/>
      <c r="E42" s="17" t="n"/>
      <c r="F42" s="17" t="n"/>
      <c r="G42" s="8">
        <f>IF(OR(A42="",C42=""),"",IF(D42="",IF(COUNTIFS(เฉลย!$A:$A,A42,เฉลย!$C:$C,C42)&gt;0,"Y","N"),IF(COUNTIFS(เฉลย!$A:$A,A42,เฉลย!$C:$C,C42,เฉลย!$D:$D,"&lt;="&amp;(N(E42)+2),เฉลย!$E:$E,"&gt;="&amp;(D42-2))&gt;0,"Y","N")))</f>
        <v/>
      </c>
    </row>
    <row r="43">
      <c r="A43" s="17" t="n"/>
      <c r="B43" s="8">
        <f>IF(A43="","",IFERROR(INDEX(แผนคลิป!$B:$B,MATCH(A43,แผนคลิป!$A:$A,0)),""))</f>
        <v/>
      </c>
      <c r="C43" s="17" t="n"/>
      <c r="D43" s="17" t="n"/>
      <c r="E43" s="17" t="n"/>
      <c r="F43" s="17" t="n"/>
      <c r="G43" s="8">
        <f>IF(OR(A43="",C43=""),"",IF(D43="",IF(COUNTIFS(เฉลย!$A:$A,A43,เฉลย!$C:$C,C43)&gt;0,"Y","N"),IF(COUNTIFS(เฉลย!$A:$A,A43,เฉลย!$C:$C,C43,เฉลย!$D:$D,"&lt;="&amp;(N(E43)+2),เฉลย!$E:$E,"&gt;="&amp;(D43-2))&gt;0,"Y","N")))</f>
        <v/>
      </c>
    </row>
    <row r="44">
      <c r="A44" s="17" t="n"/>
      <c r="B44" s="8">
        <f>IF(A44="","",IFERROR(INDEX(แผนคลิป!$B:$B,MATCH(A44,แผนคลิป!$A:$A,0)),""))</f>
        <v/>
      </c>
      <c r="C44" s="17" t="n"/>
      <c r="D44" s="17" t="n"/>
      <c r="E44" s="17" t="n"/>
      <c r="F44" s="17" t="n"/>
      <c r="G44" s="8">
        <f>IF(OR(A44="",C44=""),"",IF(D44="",IF(COUNTIFS(เฉลย!$A:$A,A44,เฉลย!$C:$C,C44)&gt;0,"Y","N"),IF(COUNTIFS(เฉลย!$A:$A,A44,เฉลย!$C:$C,C44,เฉลย!$D:$D,"&lt;="&amp;(N(E44)+2),เฉลย!$E:$E,"&gt;="&amp;(D44-2))&gt;0,"Y","N")))</f>
        <v/>
      </c>
    </row>
    <row r="45">
      <c r="A45" s="17" t="n"/>
      <c r="B45" s="8">
        <f>IF(A45="","",IFERROR(INDEX(แผนคลิป!$B:$B,MATCH(A45,แผนคลิป!$A:$A,0)),""))</f>
        <v/>
      </c>
      <c r="C45" s="17" t="n"/>
      <c r="D45" s="17" t="n"/>
      <c r="E45" s="17" t="n"/>
      <c r="F45" s="17" t="n"/>
      <c r="G45" s="8">
        <f>IF(OR(A45="",C45=""),"",IF(D45="",IF(COUNTIFS(เฉลย!$A:$A,A45,เฉลย!$C:$C,C45)&gt;0,"Y","N"),IF(COUNTIFS(เฉลย!$A:$A,A45,เฉลย!$C:$C,C45,เฉลย!$D:$D,"&lt;="&amp;(N(E45)+2),เฉลย!$E:$E,"&gt;="&amp;(D45-2))&gt;0,"Y","N")))</f>
        <v/>
      </c>
    </row>
    <row r="46">
      <c r="A46" s="17" t="n"/>
      <c r="B46" s="8">
        <f>IF(A46="","",IFERROR(INDEX(แผนคลิป!$B:$B,MATCH(A46,แผนคลิป!$A:$A,0)),""))</f>
        <v/>
      </c>
      <c r="C46" s="17" t="n"/>
      <c r="D46" s="17" t="n"/>
      <c r="E46" s="17" t="n"/>
      <c r="F46" s="17" t="n"/>
      <c r="G46" s="8">
        <f>IF(OR(A46="",C46=""),"",IF(D46="",IF(COUNTIFS(เฉลย!$A:$A,A46,เฉลย!$C:$C,C46)&gt;0,"Y","N"),IF(COUNTIFS(เฉลย!$A:$A,A46,เฉลย!$C:$C,C46,เฉลย!$D:$D,"&lt;="&amp;(N(E46)+2),เฉลย!$E:$E,"&gt;="&amp;(D46-2))&gt;0,"Y","N")))</f>
        <v/>
      </c>
    </row>
    <row r="47">
      <c r="A47" s="17" t="n"/>
      <c r="B47" s="8">
        <f>IF(A47="","",IFERROR(INDEX(แผนคลิป!$B:$B,MATCH(A47,แผนคลิป!$A:$A,0)),""))</f>
        <v/>
      </c>
      <c r="C47" s="17" t="n"/>
      <c r="D47" s="17" t="n"/>
      <c r="E47" s="17" t="n"/>
      <c r="F47" s="17" t="n"/>
      <c r="G47" s="8">
        <f>IF(OR(A47="",C47=""),"",IF(D47="",IF(COUNTIFS(เฉลย!$A:$A,A47,เฉลย!$C:$C,C47)&gt;0,"Y","N"),IF(COUNTIFS(เฉลย!$A:$A,A47,เฉลย!$C:$C,C47,เฉลย!$D:$D,"&lt;="&amp;(N(E47)+2),เฉลย!$E:$E,"&gt;="&amp;(D47-2))&gt;0,"Y","N")))</f>
        <v/>
      </c>
    </row>
    <row r="48">
      <c r="A48" s="17" t="n"/>
      <c r="B48" s="8">
        <f>IF(A48="","",IFERROR(INDEX(แผนคลิป!$B:$B,MATCH(A48,แผนคลิป!$A:$A,0)),""))</f>
        <v/>
      </c>
      <c r="C48" s="17" t="n"/>
      <c r="D48" s="17" t="n"/>
      <c r="E48" s="17" t="n"/>
      <c r="F48" s="17" t="n"/>
      <c r="G48" s="8">
        <f>IF(OR(A48="",C48=""),"",IF(D48="",IF(COUNTIFS(เฉลย!$A:$A,A48,เฉลย!$C:$C,C48)&gt;0,"Y","N"),IF(COUNTIFS(เฉลย!$A:$A,A48,เฉลย!$C:$C,C48,เฉลย!$D:$D,"&lt;="&amp;(N(E48)+2),เฉลย!$E:$E,"&gt;="&amp;(D48-2))&gt;0,"Y","N")))</f>
        <v/>
      </c>
    </row>
    <row r="49">
      <c r="A49" s="17" t="n"/>
      <c r="B49" s="8">
        <f>IF(A49="","",IFERROR(INDEX(แผนคลิป!$B:$B,MATCH(A49,แผนคลิป!$A:$A,0)),""))</f>
        <v/>
      </c>
      <c r="C49" s="17" t="n"/>
      <c r="D49" s="17" t="n"/>
      <c r="E49" s="17" t="n"/>
      <c r="F49" s="17" t="n"/>
      <c r="G49" s="8">
        <f>IF(OR(A49="",C49=""),"",IF(D49="",IF(COUNTIFS(เฉลย!$A:$A,A49,เฉลย!$C:$C,C49)&gt;0,"Y","N"),IF(COUNTIFS(เฉลย!$A:$A,A49,เฉลย!$C:$C,C49,เฉลย!$D:$D,"&lt;="&amp;(N(E49)+2),เฉลย!$E:$E,"&gt;="&amp;(D49-2))&gt;0,"Y","N")))</f>
        <v/>
      </c>
    </row>
    <row r="50">
      <c r="A50" s="17" t="n"/>
      <c r="B50" s="8">
        <f>IF(A50="","",IFERROR(INDEX(แผนคลิป!$B:$B,MATCH(A50,แผนคลิป!$A:$A,0)),""))</f>
        <v/>
      </c>
      <c r="C50" s="17" t="n"/>
      <c r="D50" s="17" t="n"/>
      <c r="E50" s="17" t="n"/>
      <c r="F50" s="17" t="n"/>
      <c r="G50" s="8">
        <f>IF(OR(A50="",C50=""),"",IF(D50="",IF(COUNTIFS(เฉลย!$A:$A,A50,เฉลย!$C:$C,C50)&gt;0,"Y","N"),IF(COUNTIFS(เฉลย!$A:$A,A50,เฉลย!$C:$C,C50,เฉลย!$D:$D,"&lt;="&amp;(N(E50)+2),เฉลย!$E:$E,"&gt;="&amp;(D50-2))&gt;0,"Y","N")))</f>
        <v/>
      </c>
    </row>
    <row r="51">
      <c r="A51" s="17" t="n"/>
      <c r="B51" s="8">
        <f>IF(A51="","",IFERROR(INDEX(แผนคลิป!$B:$B,MATCH(A51,แผนคลิป!$A:$A,0)),""))</f>
        <v/>
      </c>
      <c r="C51" s="17" t="n"/>
      <c r="D51" s="17" t="n"/>
      <c r="E51" s="17" t="n"/>
      <c r="F51" s="17" t="n"/>
      <c r="G51" s="8">
        <f>IF(OR(A51="",C51=""),"",IF(D51="",IF(COUNTIFS(เฉลย!$A:$A,A51,เฉลย!$C:$C,C51)&gt;0,"Y","N"),IF(COUNTIFS(เฉลย!$A:$A,A51,เฉลย!$C:$C,C51,เฉลย!$D:$D,"&lt;="&amp;(N(E51)+2),เฉลย!$E:$E,"&gt;="&amp;(D51-2))&gt;0,"Y","N")))</f>
        <v/>
      </c>
    </row>
    <row r="52">
      <c r="A52" s="17" t="n"/>
      <c r="B52" s="8">
        <f>IF(A52="","",IFERROR(INDEX(แผนคลิป!$B:$B,MATCH(A52,แผนคลิป!$A:$A,0)),""))</f>
        <v/>
      </c>
      <c r="C52" s="17" t="n"/>
      <c r="D52" s="17" t="n"/>
      <c r="E52" s="17" t="n"/>
      <c r="F52" s="17" t="n"/>
      <c r="G52" s="8">
        <f>IF(OR(A52="",C52=""),"",IF(D52="",IF(COUNTIFS(เฉลย!$A:$A,A52,เฉลย!$C:$C,C52)&gt;0,"Y","N"),IF(COUNTIFS(เฉลย!$A:$A,A52,เฉลย!$C:$C,C52,เฉลย!$D:$D,"&lt;="&amp;(N(E52)+2),เฉลย!$E:$E,"&gt;="&amp;(D52-2))&gt;0,"Y","N")))</f>
        <v/>
      </c>
    </row>
    <row r="53">
      <c r="A53" s="17" t="n"/>
      <c r="B53" s="8">
        <f>IF(A53="","",IFERROR(INDEX(แผนคลิป!$B:$B,MATCH(A53,แผนคลิป!$A:$A,0)),""))</f>
        <v/>
      </c>
      <c r="C53" s="17" t="n"/>
      <c r="D53" s="17" t="n"/>
      <c r="E53" s="17" t="n"/>
      <c r="F53" s="17" t="n"/>
      <c r="G53" s="8">
        <f>IF(OR(A53="",C53=""),"",IF(D53="",IF(COUNTIFS(เฉลย!$A:$A,A53,เฉลย!$C:$C,C53)&gt;0,"Y","N"),IF(COUNTIFS(เฉลย!$A:$A,A53,เฉลย!$C:$C,C53,เฉลย!$D:$D,"&lt;="&amp;(N(E53)+2),เฉลย!$E:$E,"&gt;="&amp;(D53-2))&gt;0,"Y","N")))</f>
        <v/>
      </c>
    </row>
    <row r="54">
      <c r="A54" s="17" t="n"/>
      <c r="B54" s="8">
        <f>IF(A54="","",IFERROR(INDEX(แผนคลิป!$B:$B,MATCH(A54,แผนคลิป!$A:$A,0)),""))</f>
        <v/>
      </c>
      <c r="C54" s="17" t="n"/>
      <c r="D54" s="17" t="n"/>
      <c r="E54" s="17" t="n"/>
      <c r="F54" s="17" t="n"/>
      <c r="G54" s="8">
        <f>IF(OR(A54="",C54=""),"",IF(D54="",IF(COUNTIFS(เฉลย!$A:$A,A54,เฉลย!$C:$C,C54)&gt;0,"Y","N"),IF(COUNTIFS(เฉลย!$A:$A,A54,เฉลย!$C:$C,C54,เฉลย!$D:$D,"&lt;="&amp;(N(E54)+2),เฉลย!$E:$E,"&gt;="&amp;(D54-2))&gt;0,"Y","N")))</f>
        <v/>
      </c>
    </row>
    <row r="55">
      <c r="A55" s="17" t="n"/>
      <c r="B55" s="8">
        <f>IF(A55="","",IFERROR(INDEX(แผนคลิป!$B:$B,MATCH(A55,แผนคลิป!$A:$A,0)),""))</f>
        <v/>
      </c>
      <c r="C55" s="17" t="n"/>
      <c r="D55" s="17" t="n"/>
      <c r="E55" s="17" t="n"/>
      <c r="F55" s="17" t="n"/>
      <c r="G55" s="8">
        <f>IF(OR(A55="",C55=""),"",IF(D55="",IF(COUNTIFS(เฉลย!$A:$A,A55,เฉลย!$C:$C,C55)&gt;0,"Y","N"),IF(COUNTIFS(เฉลย!$A:$A,A55,เฉลย!$C:$C,C55,เฉลย!$D:$D,"&lt;="&amp;(N(E55)+2),เฉลย!$E:$E,"&gt;="&amp;(D55-2))&gt;0,"Y","N")))</f>
        <v/>
      </c>
    </row>
    <row r="56">
      <c r="A56" s="17" t="n"/>
      <c r="B56" s="8">
        <f>IF(A56="","",IFERROR(INDEX(แผนคลิป!$B:$B,MATCH(A56,แผนคลิป!$A:$A,0)),""))</f>
        <v/>
      </c>
      <c r="C56" s="17" t="n"/>
      <c r="D56" s="17" t="n"/>
      <c r="E56" s="17" t="n"/>
      <c r="F56" s="17" t="n"/>
      <c r="G56" s="8">
        <f>IF(OR(A56="",C56=""),"",IF(D56="",IF(COUNTIFS(เฉลย!$A:$A,A56,เฉลย!$C:$C,C56)&gt;0,"Y","N"),IF(COUNTIFS(เฉลย!$A:$A,A56,เฉลย!$C:$C,C56,เฉลย!$D:$D,"&lt;="&amp;(N(E56)+2),เฉลย!$E:$E,"&gt;="&amp;(D56-2))&gt;0,"Y","N")))</f>
        <v/>
      </c>
    </row>
    <row r="57">
      <c r="A57" s="17" t="n"/>
      <c r="B57" s="8">
        <f>IF(A57="","",IFERROR(INDEX(แผนคลิป!$B:$B,MATCH(A57,แผนคลิป!$A:$A,0)),""))</f>
        <v/>
      </c>
      <c r="C57" s="17" t="n"/>
      <c r="D57" s="17" t="n"/>
      <c r="E57" s="17" t="n"/>
      <c r="F57" s="17" t="n"/>
      <c r="G57" s="8">
        <f>IF(OR(A57="",C57=""),"",IF(D57="",IF(COUNTIFS(เฉลย!$A:$A,A57,เฉลย!$C:$C,C57)&gt;0,"Y","N"),IF(COUNTIFS(เฉลย!$A:$A,A57,เฉลย!$C:$C,C57,เฉลย!$D:$D,"&lt;="&amp;(N(E57)+2),เฉลย!$E:$E,"&gt;="&amp;(D57-2))&gt;0,"Y","N")))</f>
        <v/>
      </c>
    </row>
    <row r="58">
      <c r="A58" s="17" t="n"/>
      <c r="B58" s="8">
        <f>IF(A58="","",IFERROR(INDEX(แผนคลิป!$B:$B,MATCH(A58,แผนคลิป!$A:$A,0)),""))</f>
        <v/>
      </c>
      <c r="C58" s="17" t="n"/>
      <c r="D58" s="17" t="n"/>
      <c r="E58" s="17" t="n"/>
      <c r="F58" s="17" t="n"/>
      <c r="G58" s="8">
        <f>IF(OR(A58="",C58=""),"",IF(D58="",IF(COUNTIFS(เฉลย!$A:$A,A58,เฉลย!$C:$C,C58)&gt;0,"Y","N"),IF(COUNTIFS(เฉลย!$A:$A,A58,เฉลย!$C:$C,C58,เฉลย!$D:$D,"&lt;="&amp;(N(E58)+2),เฉลย!$E:$E,"&gt;="&amp;(D58-2))&gt;0,"Y","N")))</f>
        <v/>
      </c>
    </row>
    <row r="59">
      <c r="A59" s="17" t="n"/>
      <c r="B59" s="8">
        <f>IF(A59="","",IFERROR(INDEX(แผนคลิป!$B:$B,MATCH(A59,แผนคลิป!$A:$A,0)),""))</f>
        <v/>
      </c>
      <c r="C59" s="17" t="n"/>
      <c r="D59" s="17" t="n"/>
      <c r="E59" s="17" t="n"/>
      <c r="F59" s="17" t="n"/>
      <c r="G59" s="8">
        <f>IF(OR(A59="",C59=""),"",IF(D59="",IF(COUNTIFS(เฉลย!$A:$A,A59,เฉลย!$C:$C,C59)&gt;0,"Y","N"),IF(COUNTIFS(เฉลย!$A:$A,A59,เฉลย!$C:$C,C59,เฉลย!$D:$D,"&lt;="&amp;(N(E59)+2),เฉลย!$E:$E,"&gt;="&amp;(D59-2))&gt;0,"Y","N")))</f>
        <v/>
      </c>
    </row>
    <row r="60">
      <c r="A60" s="17" t="n"/>
      <c r="B60" s="8">
        <f>IF(A60="","",IFERROR(INDEX(แผนคลิป!$B:$B,MATCH(A60,แผนคลิป!$A:$A,0)),""))</f>
        <v/>
      </c>
      <c r="C60" s="17" t="n"/>
      <c r="D60" s="17" t="n"/>
      <c r="E60" s="17" t="n"/>
      <c r="F60" s="17" t="n"/>
      <c r="G60" s="8">
        <f>IF(OR(A60="",C60=""),"",IF(D60="",IF(COUNTIFS(เฉลย!$A:$A,A60,เฉลย!$C:$C,C60)&gt;0,"Y","N"),IF(COUNTIFS(เฉลย!$A:$A,A60,เฉลย!$C:$C,C60,เฉลย!$D:$D,"&lt;="&amp;(N(E60)+2),เฉลย!$E:$E,"&gt;="&amp;(D60-2))&gt;0,"Y","N")))</f>
        <v/>
      </c>
    </row>
    <row r="61">
      <c r="A61" s="17" t="n"/>
      <c r="B61" s="8">
        <f>IF(A61="","",IFERROR(INDEX(แผนคลิป!$B:$B,MATCH(A61,แผนคลิป!$A:$A,0)),""))</f>
        <v/>
      </c>
      <c r="C61" s="17" t="n"/>
      <c r="D61" s="17" t="n"/>
      <c r="E61" s="17" t="n"/>
      <c r="F61" s="17" t="n"/>
      <c r="G61" s="8">
        <f>IF(OR(A61="",C61=""),"",IF(D61="",IF(COUNTIFS(เฉลย!$A:$A,A61,เฉลย!$C:$C,C61)&gt;0,"Y","N"),IF(COUNTIFS(เฉลย!$A:$A,A61,เฉลย!$C:$C,C61,เฉลย!$D:$D,"&lt;="&amp;(N(E61)+2),เฉลย!$E:$E,"&gt;="&amp;(D61-2))&gt;0,"Y","N")))</f>
        <v/>
      </c>
    </row>
    <row r="62">
      <c r="A62" s="17" t="n"/>
      <c r="B62" s="8">
        <f>IF(A62="","",IFERROR(INDEX(แผนคลิป!$B:$B,MATCH(A62,แผนคลิป!$A:$A,0)),""))</f>
        <v/>
      </c>
      <c r="C62" s="17" t="n"/>
      <c r="D62" s="17" t="n"/>
      <c r="E62" s="17" t="n"/>
      <c r="F62" s="17" t="n"/>
      <c r="G62" s="8">
        <f>IF(OR(A62="",C62=""),"",IF(D62="",IF(COUNTIFS(เฉลย!$A:$A,A62,เฉลย!$C:$C,C62)&gt;0,"Y","N"),IF(COUNTIFS(เฉลย!$A:$A,A62,เฉลย!$C:$C,C62,เฉลย!$D:$D,"&lt;="&amp;(N(E62)+2),เฉลย!$E:$E,"&gt;="&amp;(D62-2))&gt;0,"Y","N")))</f>
        <v/>
      </c>
    </row>
    <row r="63">
      <c r="A63" s="17" t="n"/>
      <c r="B63" s="8">
        <f>IF(A63="","",IFERROR(INDEX(แผนคลิป!$B:$B,MATCH(A63,แผนคลิป!$A:$A,0)),""))</f>
        <v/>
      </c>
      <c r="C63" s="17" t="n"/>
      <c r="D63" s="17" t="n"/>
      <c r="E63" s="17" t="n"/>
      <c r="F63" s="17" t="n"/>
      <c r="G63" s="8">
        <f>IF(OR(A63="",C63=""),"",IF(D63="",IF(COUNTIFS(เฉลย!$A:$A,A63,เฉลย!$C:$C,C63)&gt;0,"Y","N"),IF(COUNTIFS(เฉลย!$A:$A,A63,เฉลย!$C:$C,C63,เฉลย!$D:$D,"&lt;="&amp;(N(E63)+2),เฉลย!$E:$E,"&gt;="&amp;(D63-2))&gt;0,"Y","N")))</f>
        <v/>
      </c>
    </row>
    <row r="64">
      <c r="A64" s="17" t="n"/>
      <c r="B64" s="8">
        <f>IF(A64="","",IFERROR(INDEX(แผนคลิป!$B:$B,MATCH(A64,แผนคลิป!$A:$A,0)),""))</f>
        <v/>
      </c>
      <c r="C64" s="17" t="n"/>
      <c r="D64" s="17" t="n"/>
      <c r="E64" s="17" t="n"/>
      <c r="F64" s="17" t="n"/>
      <c r="G64" s="8">
        <f>IF(OR(A64="",C64=""),"",IF(D64="",IF(COUNTIFS(เฉลย!$A:$A,A64,เฉลย!$C:$C,C64)&gt;0,"Y","N"),IF(COUNTIFS(เฉลย!$A:$A,A64,เฉลย!$C:$C,C64,เฉลย!$D:$D,"&lt;="&amp;(N(E64)+2),เฉลย!$E:$E,"&gt;="&amp;(D64-2))&gt;0,"Y","N")))</f>
        <v/>
      </c>
    </row>
    <row r="65">
      <c r="A65" s="17" t="n"/>
      <c r="B65" s="8">
        <f>IF(A65="","",IFERROR(INDEX(แผนคลิป!$B:$B,MATCH(A65,แผนคลิป!$A:$A,0)),""))</f>
        <v/>
      </c>
      <c r="C65" s="17" t="n"/>
      <c r="D65" s="17" t="n"/>
      <c r="E65" s="17" t="n"/>
      <c r="F65" s="17" t="n"/>
      <c r="G65" s="8">
        <f>IF(OR(A65="",C65=""),"",IF(D65="",IF(COUNTIFS(เฉลย!$A:$A,A65,เฉลย!$C:$C,C65)&gt;0,"Y","N"),IF(COUNTIFS(เฉลย!$A:$A,A65,เฉลย!$C:$C,C65,เฉลย!$D:$D,"&lt;="&amp;(N(E65)+2),เฉลย!$E:$E,"&gt;="&amp;(D65-2))&gt;0,"Y","N")))</f>
        <v/>
      </c>
    </row>
    <row r="66">
      <c r="A66" s="17" t="n"/>
      <c r="B66" s="8">
        <f>IF(A66="","",IFERROR(INDEX(แผนคลิป!$B:$B,MATCH(A66,แผนคลิป!$A:$A,0)),""))</f>
        <v/>
      </c>
      <c r="C66" s="17" t="n"/>
      <c r="D66" s="17" t="n"/>
      <c r="E66" s="17" t="n"/>
      <c r="F66" s="17" t="n"/>
      <c r="G66" s="8">
        <f>IF(OR(A66="",C66=""),"",IF(D66="",IF(COUNTIFS(เฉลย!$A:$A,A66,เฉลย!$C:$C,C66)&gt;0,"Y","N"),IF(COUNTIFS(เฉลย!$A:$A,A66,เฉลย!$C:$C,C66,เฉลย!$D:$D,"&lt;="&amp;(N(E66)+2),เฉลย!$E:$E,"&gt;="&amp;(D66-2))&gt;0,"Y","N")))</f>
        <v/>
      </c>
    </row>
    <row r="67">
      <c r="A67" s="17" t="n"/>
      <c r="B67" s="8">
        <f>IF(A67="","",IFERROR(INDEX(แผนคลิป!$B:$B,MATCH(A67,แผนคลิป!$A:$A,0)),""))</f>
        <v/>
      </c>
      <c r="C67" s="17" t="n"/>
      <c r="D67" s="17" t="n"/>
      <c r="E67" s="17" t="n"/>
      <c r="F67" s="17" t="n"/>
      <c r="G67" s="8">
        <f>IF(OR(A67="",C67=""),"",IF(D67="",IF(COUNTIFS(เฉลย!$A:$A,A67,เฉลย!$C:$C,C67)&gt;0,"Y","N"),IF(COUNTIFS(เฉลย!$A:$A,A67,เฉลย!$C:$C,C67,เฉลย!$D:$D,"&lt;="&amp;(N(E67)+2),เฉลย!$E:$E,"&gt;="&amp;(D67-2))&gt;0,"Y","N")))</f>
        <v/>
      </c>
    </row>
    <row r="68">
      <c r="A68" s="17" t="n"/>
      <c r="B68" s="8">
        <f>IF(A68="","",IFERROR(INDEX(แผนคลิป!$B:$B,MATCH(A68,แผนคลิป!$A:$A,0)),""))</f>
        <v/>
      </c>
      <c r="C68" s="17" t="n"/>
      <c r="D68" s="17" t="n"/>
      <c r="E68" s="17" t="n"/>
      <c r="F68" s="17" t="n"/>
      <c r="G68" s="8">
        <f>IF(OR(A68="",C68=""),"",IF(D68="",IF(COUNTIFS(เฉลย!$A:$A,A68,เฉลย!$C:$C,C68)&gt;0,"Y","N"),IF(COUNTIFS(เฉลย!$A:$A,A68,เฉลย!$C:$C,C68,เฉลย!$D:$D,"&lt;="&amp;(N(E68)+2),เฉลย!$E:$E,"&gt;="&amp;(D68-2))&gt;0,"Y","N")))</f>
        <v/>
      </c>
    </row>
    <row r="69">
      <c r="A69" s="17" t="n"/>
      <c r="B69" s="8">
        <f>IF(A69="","",IFERROR(INDEX(แผนคลิป!$B:$B,MATCH(A69,แผนคลิป!$A:$A,0)),""))</f>
        <v/>
      </c>
      <c r="C69" s="17" t="n"/>
      <c r="D69" s="17" t="n"/>
      <c r="E69" s="17" t="n"/>
      <c r="F69" s="17" t="n"/>
      <c r="G69" s="8">
        <f>IF(OR(A69="",C69=""),"",IF(D69="",IF(COUNTIFS(เฉลย!$A:$A,A69,เฉลย!$C:$C,C69)&gt;0,"Y","N"),IF(COUNTIFS(เฉลย!$A:$A,A69,เฉลย!$C:$C,C69,เฉลย!$D:$D,"&lt;="&amp;(N(E69)+2),เฉลย!$E:$E,"&gt;="&amp;(D69-2))&gt;0,"Y","N")))</f>
        <v/>
      </c>
    </row>
    <row r="70">
      <c r="A70" s="17" t="n"/>
      <c r="B70" s="8">
        <f>IF(A70="","",IFERROR(INDEX(แผนคลิป!$B:$B,MATCH(A70,แผนคลิป!$A:$A,0)),""))</f>
        <v/>
      </c>
      <c r="C70" s="17" t="n"/>
      <c r="D70" s="17" t="n"/>
      <c r="E70" s="17" t="n"/>
      <c r="F70" s="17" t="n"/>
      <c r="G70" s="8">
        <f>IF(OR(A70="",C70=""),"",IF(D70="",IF(COUNTIFS(เฉลย!$A:$A,A70,เฉลย!$C:$C,C70)&gt;0,"Y","N"),IF(COUNTIFS(เฉลย!$A:$A,A70,เฉลย!$C:$C,C70,เฉลย!$D:$D,"&lt;="&amp;(N(E70)+2),เฉลย!$E:$E,"&gt;="&amp;(D70-2))&gt;0,"Y","N")))</f>
        <v/>
      </c>
    </row>
    <row r="71">
      <c r="A71" s="17" t="n"/>
      <c r="B71" s="8">
        <f>IF(A71="","",IFERROR(INDEX(แผนคลิป!$B:$B,MATCH(A71,แผนคลิป!$A:$A,0)),""))</f>
        <v/>
      </c>
      <c r="C71" s="17" t="n"/>
      <c r="D71" s="17" t="n"/>
      <c r="E71" s="17" t="n"/>
      <c r="F71" s="17" t="n"/>
      <c r="G71" s="8">
        <f>IF(OR(A71="",C71=""),"",IF(D71="",IF(COUNTIFS(เฉลย!$A:$A,A71,เฉลย!$C:$C,C71)&gt;0,"Y","N"),IF(COUNTIFS(เฉลย!$A:$A,A71,เฉลย!$C:$C,C71,เฉลย!$D:$D,"&lt;="&amp;(N(E71)+2),เฉลย!$E:$E,"&gt;="&amp;(D71-2))&gt;0,"Y","N")))</f>
        <v/>
      </c>
    </row>
    <row r="72">
      <c r="A72" s="17" t="n"/>
      <c r="B72" s="8">
        <f>IF(A72="","",IFERROR(INDEX(แผนคลิป!$B:$B,MATCH(A72,แผนคลิป!$A:$A,0)),""))</f>
        <v/>
      </c>
      <c r="C72" s="17" t="n"/>
      <c r="D72" s="17" t="n"/>
      <c r="E72" s="17" t="n"/>
      <c r="F72" s="17" t="n"/>
      <c r="G72" s="8">
        <f>IF(OR(A72="",C72=""),"",IF(D72="",IF(COUNTIFS(เฉลย!$A:$A,A72,เฉลย!$C:$C,C72)&gt;0,"Y","N"),IF(COUNTIFS(เฉลย!$A:$A,A72,เฉลย!$C:$C,C72,เฉลย!$D:$D,"&lt;="&amp;(N(E72)+2),เฉลย!$E:$E,"&gt;="&amp;(D72-2))&gt;0,"Y","N")))</f>
        <v/>
      </c>
    </row>
    <row r="73">
      <c r="A73" s="17" t="n"/>
      <c r="B73" s="8">
        <f>IF(A73="","",IFERROR(INDEX(แผนคลิป!$B:$B,MATCH(A73,แผนคลิป!$A:$A,0)),""))</f>
        <v/>
      </c>
      <c r="C73" s="17" t="n"/>
      <c r="D73" s="17" t="n"/>
      <c r="E73" s="17" t="n"/>
      <c r="F73" s="17" t="n"/>
      <c r="G73" s="8">
        <f>IF(OR(A73="",C73=""),"",IF(D73="",IF(COUNTIFS(เฉลย!$A:$A,A73,เฉลย!$C:$C,C73)&gt;0,"Y","N"),IF(COUNTIFS(เฉลย!$A:$A,A73,เฉลย!$C:$C,C73,เฉลย!$D:$D,"&lt;="&amp;(N(E73)+2),เฉลย!$E:$E,"&gt;="&amp;(D73-2))&gt;0,"Y","N")))</f>
        <v/>
      </c>
    </row>
    <row r="74">
      <c r="A74" s="17" t="n"/>
      <c r="B74" s="8">
        <f>IF(A74="","",IFERROR(INDEX(แผนคลิป!$B:$B,MATCH(A74,แผนคลิป!$A:$A,0)),""))</f>
        <v/>
      </c>
      <c r="C74" s="17" t="n"/>
      <c r="D74" s="17" t="n"/>
      <c r="E74" s="17" t="n"/>
      <c r="F74" s="17" t="n"/>
      <c r="G74" s="8">
        <f>IF(OR(A74="",C74=""),"",IF(D74="",IF(COUNTIFS(เฉลย!$A:$A,A74,เฉลย!$C:$C,C74)&gt;0,"Y","N"),IF(COUNTIFS(เฉลย!$A:$A,A74,เฉลย!$C:$C,C74,เฉลย!$D:$D,"&lt;="&amp;(N(E74)+2),เฉลย!$E:$E,"&gt;="&amp;(D74-2))&gt;0,"Y","N")))</f>
        <v/>
      </c>
    </row>
    <row r="75">
      <c r="A75" s="17" t="n"/>
      <c r="B75" s="8">
        <f>IF(A75="","",IFERROR(INDEX(แผนคลิป!$B:$B,MATCH(A75,แผนคลิป!$A:$A,0)),""))</f>
        <v/>
      </c>
      <c r="C75" s="17" t="n"/>
      <c r="D75" s="17" t="n"/>
      <c r="E75" s="17" t="n"/>
      <c r="F75" s="17" t="n"/>
      <c r="G75" s="8">
        <f>IF(OR(A75="",C75=""),"",IF(D75="",IF(COUNTIFS(เฉลย!$A:$A,A75,เฉลย!$C:$C,C75)&gt;0,"Y","N"),IF(COUNTIFS(เฉลย!$A:$A,A75,เฉลย!$C:$C,C75,เฉลย!$D:$D,"&lt;="&amp;(N(E75)+2),เฉลย!$E:$E,"&gt;="&amp;(D75-2))&gt;0,"Y","N")))</f>
        <v/>
      </c>
    </row>
    <row r="76">
      <c r="A76" s="17" t="n"/>
      <c r="B76" s="8">
        <f>IF(A76="","",IFERROR(INDEX(แผนคลิป!$B:$B,MATCH(A76,แผนคลิป!$A:$A,0)),""))</f>
        <v/>
      </c>
      <c r="C76" s="17" t="n"/>
      <c r="D76" s="17" t="n"/>
      <c r="E76" s="17" t="n"/>
      <c r="F76" s="17" t="n"/>
      <c r="G76" s="8">
        <f>IF(OR(A76="",C76=""),"",IF(D76="",IF(COUNTIFS(เฉลย!$A:$A,A76,เฉลย!$C:$C,C76)&gt;0,"Y","N"),IF(COUNTIFS(เฉลย!$A:$A,A76,เฉลย!$C:$C,C76,เฉลย!$D:$D,"&lt;="&amp;(N(E76)+2),เฉลย!$E:$E,"&gt;="&amp;(D76-2))&gt;0,"Y","N")))</f>
        <v/>
      </c>
    </row>
    <row r="77">
      <c r="A77" s="17" t="n"/>
      <c r="B77" s="8">
        <f>IF(A77="","",IFERROR(INDEX(แผนคลิป!$B:$B,MATCH(A77,แผนคลิป!$A:$A,0)),""))</f>
        <v/>
      </c>
      <c r="C77" s="17" t="n"/>
      <c r="D77" s="17" t="n"/>
      <c r="E77" s="17" t="n"/>
      <c r="F77" s="17" t="n"/>
      <c r="G77" s="8">
        <f>IF(OR(A77="",C77=""),"",IF(D77="",IF(COUNTIFS(เฉลย!$A:$A,A77,เฉลย!$C:$C,C77)&gt;0,"Y","N"),IF(COUNTIFS(เฉลย!$A:$A,A77,เฉลย!$C:$C,C77,เฉลย!$D:$D,"&lt;="&amp;(N(E77)+2),เฉลย!$E:$E,"&gt;="&amp;(D77-2))&gt;0,"Y","N")))</f>
        <v/>
      </c>
    </row>
    <row r="78">
      <c r="A78" s="17" t="n"/>
      <c r="B78" s="8">
        <f>IF(A78="","",IFERROR(INDEX(แผนคลิป!$B:$B,MATCH(A78,แผนคลิป!$A:$A,0)),""))</f>
        <v/>
      </c>
      <c r="C78" s="17" t="n"/>
      <c r="D78" s="17" t="n"/>
      <c r="E78" s="17" t="n"/>
      <c r="F78" s="17" t="n"/>
      <c r="G78" s="8">
        <f>IF(OR(A78="",C78=""),"",IF(D78="",IF(COUNTIFS(เฉลย!$A:$A,A78,เฉลย!$C:$C,C78)&gt;0,"Y","N"),IF(COUNTIFS(เฉลย!$A:$A,A78,เฉลย!$C:$C,C78,เฉลย!$D:$D,"&lt;="&amp;(N(E78)+2),เฉลย!$E:$E,"&gt;="&amp;(D78-2))&gt;0,"Y","N")))</f>
        <v/>
      </c>
    </row>
    <row r="79">
      <c r="A79" s="17" t="n"/>
      <c r="B79" s="8">
        <f>IF(A79="","",IFERROR(INDEX(แผนคลิป!$B:$B,MATCH(A79,แผนคลิป!$A:$A,0)),""))</f>
        <v/>
      </c>
      <c r="C79" s="17" t="n"/>
      <c r="D79" s="17" t="n"/>
      <c r="E79" s="17" t="n"/>
      <c r="F79" s="17" t="n"/>
      <c r="G79" s="8">
        <f>IF(OR(A79="",C79=""),"",IF(D79="",IF(COUNTIFS(เฉลย!$A:$A,A79,เฉลย!$C:$C,C79)&gt;0,"Y","N"),IF(COUNTIFS(เฉลย!$A:$A,A79,เฉลย!$C:$C,C79,เฉลย!$D:$D,"&lt;="&amp;(N(E79)+2),เฉลย!$E:$E,"&gt;="&amp;(D79-2))&gt;0,"Y","N")))</f>
        <v/>
      </c>
    </row>
    <row r="80">
      <c r="A80" s="17" t="n"/>
      <c r="B80" s="8">
        <f>IF(A80="","",IFERROR(INDEX(แผนคลิป!$B:$B,MATCH(A80,แผนคลิป!$A:$A,0)),""))</f>
        <v/>
      </c>
      <c r="C80" s="17" t="n"/>
      <c r="D80" s="17" t="n"/>
      <c r="E80" s="17" t="n"/>
      <c r="F80" s="17" t="n"/>
      <c r="G80" s="8">
        <f>IF(OR(A80="",C80=""),"",IF(D80="",IF(COUNTIFS(เฉลย!$A:$A,A80,เฉลย!$C:$C,C80)&gt;0,"Y","N"),IF(COUNTIFS(เฉลย!$A:$A,A80,เฉลย!$C:$C,C80,เฉลย!$D:$D,"&lt;="&amp;(N(E80)+2),เฉลย!$E:$E,"&gt;="&amp;(D80-2))&gt;0,"Y","N")))</f>
        <v/>
      </c>
    </row>
    <row r="81">
      <c r="A81" s="17" t="n"/>
      <c r="B81" s="8">
        <f>IF(A81="","",IFERROR(INDEX(แผนคลิป!$B:$B,MATCH(A81,แผนคลิป!$A:$A,0)),""))</f>
        <v/>
      </c>
      <c r="C81" s="17" t="n"/>
      <c r="D81" s="17" t="n"/>
      <c r="E81" s="17" t="n"/>
      <c r="F81" s="17" t="n"/>
      <c r="G81" s="8">
        <f>IF(OR(A81="",C81=""),"",IF(D81="",IF(COUNTIFS(เฉลย!$A:$A,A81,เฉลย!$C:$C,C81)&gt;0,"Y","N"),IF(COUNTIFS(เฉลย!$A:$A,A81,เฉลย!$C:$C,C81,เฉลย!$D:$D,"&lt;="&amp;(N(E81)+2),เฉลย!$E:$E,"&gt;="&amp;(D81-2))&gt;0,"Y","N")))</f>
        <v/>
      </c>
    </row>
    <row r="82">
      <c r="A82" s="17" t="n"/>
      <c r="B82" s="8">
        <f>IF(A82="","",IFERROR(INDEX(แผนคลิป!$B:$B,MATCH(A82,แผนคลิป!$A:$A,0)),""))</f>
        <v/>
      </c>
      <c r="C82" s="17" t="n"/>
      <c r="D82" s="17" t="n"/>
      <c r="E82" s="17" t="n"/>
      <c r="F82" s="17" t="n"/>
      <c r="G82" s="8">
        <f>IF(OR(A82="",C82=""),"",IF(D82="",IF(COUNTIFS(เฉลย!$A:$A,A82,เฉลย!$C:$C,C82)&gt;0,"Y","N"),IF(COUNTIFS(เฉลย!$A:$A,A82,เฉลย!$C:$C,C82,เฉลย!$D:$D,"&lt;="&amp;(N(E82)+2),เฉลย!$E:$E,"&gt;="&amp;(D82-2))&gt;0,"Y","N")))</f>
        <v/>
      </c>
    </row>
    <row r="83">
      <c r="A83" s="17" t="n"/>
      <c r="B83" s="8">
        <f>IF(A83="","",IFERROR(INDEX(แผนคลิป!$B:$B,MATCH(A83,แผนคลิป!$A:$A,0)),""))</f>
        <v/>
      </c>
      <c r="C83" s="17" t="n"/>
      <c r="D83" s="17" t="n"/>
      <c r="E83" s="17" t="n"/>
      <c r="F83" s="17" t="n"/>
      <c r="G83" s="8">
        <f>IF(OR(A83="",C83=""),"",IF(D83="",IF(COUNTIFS(เฉลย!$A:$A,A83,เฉลย!$C:$C,C83)&gt;0,"Y","N"),IF(COUNTIFS(เฉลย!$A:$A,A83,เฉลย!$C:$C,C83,เฉลย!$D:$D,"&lt;="&amp;(N(E83)+2),เฉลย!$E:$E,"&gt;="&amp;(D83-2))&gt;0,"Y","N")))</f>
        <v/>
      </c>
    </row>
    <row r="84">
      <c r="A84" s="17" t="n"/>
      <c r="B84" s="8">
        <f>IF(A84="","",IFERROR(INDEX(แผนคลิป!$B:$B,MATCH(A84,แผนคลิป!$A:$A,0)),""))</f>
        <v/>
      </c>
      <c r="C84" s="17" t="n"/>
      <c r="D84" s="17" t="n"/>
      <c r="E84" s="17" t="n"/>
      <c r="F84" s="17" t="n"/>
      <c r="G84" s="8">
        <f>IF(OR(A84="",C84=""),"",IF(D84="",IF(COUNTIFS(เฉลย!$A:$A,A84,เฉลย!$C:$C,C84)&gt;0,"Y","N"),IF(COUNTIFS(เฉลย!$A:$A,A84,เฉลย!$C:$C,C84,เฉลย!$D:$D,"&lt;="&amp;(N(E84)+2),เฉลย!$E:$E,"&gt;="&amp;(D84-2))&gt;0,"Y","N")))</f>
        <v/>
      </c>
    </row>
    <row r="85">
      <c r="A85" s="17" t="n"/>
      <c r="B85" s="8">
        <f>IF(A85="","",IFERROR(INDEX(แผนคลิป!$B:$B,MATCH(A85,แผนคลิป!$A:$A,0)),""))</f>
        <v/>
      </c>
      <c r="C85" s="17" t="n"/>
      <c r="D85" s="17" t="n"/>
      <c r="E85" s="17" t="n"/>
      <c r="F85" s="17" t="n"/>
      <c r="G85" s="8">
        <f>IF(OR(A85="",C85=""),"",IF(D85="",IF(COUNTIFS(เฉลย!$A:$A,A85,เฉลย!$C:$C,C85)&gt;0,"Y","N"),IF(COUNTIFS(เฉลย!$A:$A,A85,เฉลย!$C:$C,C85,เฉลย!$D:$D,"&lt;="&amp;(N(E85)+2),เฉลย!$E:$E,"&gt;="&amp;(D85-2))&gt;0,"Y","N")))</f>
        <v/>
      </c>
    </row>
    <row r="86">
      <c r="A86" s="17" t="n"/>
      <c r="B86" s="8">
        <f>IF(A86="","",IFERROR(INDEX(แผนคลิป!$B:$B,MATCH(A86,แผนคลิป!$A:$A,0)),""))</f>
        <v/>
      </c>
      <c r="C86" s="17" t="n"/>
      <c r="D86" s="17" t="n"/>
      <c r="E86" s="17" t="n"/>
      <c r="F86" s="17" t="n"/>
      <c r="G86" s="8">
        <f>IF(OR(A86="",C86=""),"",IF(D86="",IF(COUNTIFS(เฉลย!$A:$A,A86,เฉลย!$C:$C,C86)&gt;0,"Y","N"),IF(COUNTIFS(เฉลย!$A:$A,A86,เฉลย!$C:$C,C86,เฉลย!$D:$D,"&lt;="&amp;(N(E86)+2),เฉลย!$E:$E,"&gt;="&amp;(D86-2))&gt;0,"Y","N")))</f>
        <v/>
      </c>
    </row>
    <row r="87">
      <c r="A87" s="17" t="n"/>
      <c r="B87" s="8">
        <f>IF(A87="","",IFERROR(INDEX(แผนคลิป!$B:$B,MATCH(A87,แผนคลิป!$A:$A,0)),""))</f>
        <v/>
      </c>
      <c r="C87" s="17" t="n"/>
      <c r="D87" s="17" t="n"/>
      <c r="E87" s="17" t="n"/>
      <c r="F87" s="17" t="n"/>
      <c r="G87" s="8">
        <f>IF(OR(A87="",C87=""),"",IF(D87="",IF(COUNTIFS(เฉลย!$A:$A,A87,เฉลย!$C:$C,C87)&gt;0,"Y","N"),IF(COUNTIFS(เฉลย!$A:$A,A87,เฉลย!$C:$C,C87,เฉลย!$D:$D,"&lt;="&amp;(N(E87)+2),เฉลย!$E:$E,"&gt;="&amp;(D87-2))&gt;0,"Y","N")))</f>
        <v/>
      </c>
    </row>
    <row r="88">
      <c r="A88" s="17" t="n"/>
      <c r="B88" s="8">
        <f>IF(A88="","",IFERROR(INDEX(แผนคลิป!$B:$B,MATCH(A88,แผนคลิป!$A:$A,0)),""))</f>
        <v/>
      </c>
      <c r="C88" s="17" t="n"/>
      <c r="D88" s="17" t="n"/>
      <c r="E88" s="17" t="n"/>
      <c r="F88" s="17" t="n"/>
      <c r="G88" s="8">
        <f>IF(OR(A88="",C88=""),"",IF(D88="",IF(COUNTIFS(เฉลย!$A:$A,A88,เฉลย!$C:$C,C88)&gt;0,"Y","N"),IF(COUNTIFS(เฉลย!$A:$A,A88,เฉลย!$C:$C,C88,เฉลย!$D:$D,"&lt;="&amp;(N(E88)+2),เฉลย!$E:$E,"&gt;="&amp;(D88-2))&gt;0,"Y","N")))</f>
        <v/>
      </c>
    </row>
    <row r="89">
      <c r="A89" s="17" t="n"/>
      <c r="B89" s="8">
        <f>IF(A89="","",IFERROR(INDEX(แผนคลิป!$B:$B,MATCH(A89,แผนคลิป!$A:$A,0)),""))</f>
        <v/>
      </c>
      <c r="C89" s="17" t="n"/>
      <c r="D89" s="17" t="n"/>
      <c r="E89" s="17" t="n"/>
      <c r="F89" s="17" t="n"/>
      <c r="G89" s="8">
        <f>IF(OR(A89="",C89=""),"",IF(D89="",IF(COUNTIFS(เฉลย!$A:$A,A89,เฉลย!$C:$C,C89)&gt;0,"Y","N"),IF(COUNTIFS(เฉลย!$A:$A,A89,เฉลย!$C:$C,C89,เฉลย!$D:$D,"&lt;="&amp;(N(E89)+2),เฉลย!$E:$E,"&gt;="&amp;(D89-2))&gt;0,"Y","N")))</f>
        <v/>
      </c>
    </row>
    <row r="90">
      <c r="A90" s="17" t="n"/>
      <c r="B90" s="8">
        <f>IF(A90="","",IFERROR(INDEX(แผนคลิป!$B:$B,MATCH(A90,แผนคลิป!$A:$A,0)),""))</f>
        <v/>
      </c>
      <c r="C90" s="17" t="n"/>
      <c r="D90" s="17" t="n"/>
      <c r="E90" s="17" t="n"/>
      <c r="F90" s="17" t="n"/>
      <c r="G90" s="8">
        <f>IF(OR(A90="",C90=""),"",IF(D90="",IF(COUNTIFS(เฉลย!$A:$A,A90,เฉลย!$C:$C,C90)&gt;0,"Y","N"),IF(COUNTIFS(เฉลย!$A:$A,A90,เฉลย!$C:$C,C90,เฉลย!$D:$D,"&lt;="&amp;(N(E90)+2),เฉลย!$E:$E,"&gt;="&amp;(D90-2))&gt;0,"Y","N")))</f>
        <v/>
      </c>
    </row>
    <row r="91">
      <c r="A91" s="17" t="n"/>
      <c r="B91" s="8">
        <f>IF(A91="","",IFERROR(INDEX(แผนคลิป!$B:$B,MATCH(A91,แผนคลิป!$A:$A,0)),""))</f>
        <v/>
      </c>
      <c r="C91" s="17" t="n"/>
      <c r="D91" s="17" t="n"/>
      <c r="E91" s="17" t="n"/>
      <c r="F91" s="17" t="n"/>
      <c r="G91" s="8">
        <f>IF(OR(A91="",C91=""),"",IF(D91="",IF(COUNTIFS(เฉลย!$A:$A,A91,เฉลย!$C:$C,C91)&gt;0,"Y","N"),IF(COUNTIFS(เฉลย!$A:$A,A91,เฉลย!$C:$C,C91,เฉลย!$D:$D,"&lt;="&amp;(N(E91)+2),เฉลย!$E:$E,"&gt;="&amp;(D91-2))&gt;0,"Y","N")))</f>
        <v/>
      </c>
    </row>
    <row r="92">
      <c r="A92" s="17" t="n"/>
      <c r="B92" s="8">
        <f>IF(A92="","",IFERROR(INDEX(แผนคลิป!$B:$B,MATCH(A92,แผนคลิป!$A:$A,0)),""))</f>
        <v/>
      </c>
      <c r="C92" s="17" t="n"/>
      <c r="D92" s="17" t="n"/>
      <c r="E92" s="17" t="n"/>
      <c r="F92" s="17" t="n"/>
      <c r="G92" s="8">
        <f>IF(OR(A92="",C92=""),"",IF(D92="",IF(COUNTIFS(เฉลย!$A:$A,A92,เฉลย!$C:$C,C92)&gt;0,"Y","N"),IF(COUNTIFS(เฉลย!$A:$A,A92,เฉลย!$C:$C,C92,เฉลย!$D:$D,"&lt;="&amp;(N(E92)+2),เฉลย!$E:$E,"&gt;="&amp;(D92-2))&gt;0,"Y","N")))</f>
        <v/>
      </c>
    </row>
    <row r="93">
      <c r="A93" s="17" t="n"/>
      <c r="B93" s="8">
        <f>IF(A93="","",IFERROR(INDEX(แผนคลิป!$B:$B,MATCH(A93,แผนคลิป!$A:$A,0)),""))</f>
        <v/>
      </c>
      <c r="C93" s="17" t="n"/>
      <c r="D93" s="17" t="n"/>
      <c r="E93" s="17" t="n"/>
      <c r="F93" s="17" t="n"/>
      <c r="G93" s="8">
        <f>IF(OR(A93="",C93=""),"",IF(D93="",IF(COUNTIFS(เฉลย!$A:$A,A93,เฉลย!$C:$C,C93)&gt;0,"Y","N"),IF(COUNTIFS(เฉลย!$A:$A,A93,เฉลย!$C:$C,C93,เฉลย!$D:$D,"&lt;="&amp;(N(E93)+2),เฉลย!$E:$E,"&gt;="&amp;(D93-2))&gt;0,"Y","N")))</f>
        <v/>
      </c>
    </row>
    <row r="94">
      <c r="A94" s="17" t="n"/>
      <c r="B94" s="8">
        <f>IF(A94="","",IFERROR(INDEX(แผนคลิป!$B:$B,MATCH(A94,แผนคลิป!$A:$A,0)),""))</f>
        <v/>
      </c>
      <c r="C94" s="17" t="n"/>
      <c r="D94" s="17" t="n"/>
      <c r="E94" s="17" t="n"/>
      <c r="F94" s="17" t="n"/>
      <c r="G94" s="8">
        <f>IF(OR(A94="",C94=""),"",IF(D94="",IF(COUNTIFS(เฉลย!$A:$A,A94,เฉลย!$C:$C,C94)&gt;0,"Y","N"),IF(COUNTIFS(เฉลย!$A:$A,A94,เฉลย!$C:$C,C94,เฉลย!$D:$D,"&lt;="&amp;(N(E94)+2),เฉลย!$E:$E,"&gt;="&amp;(D94-2))&gt;0,"Y","N")))</f>
        <v/>
      </c>
    </row>
    <row r="95">
      <c r="A95" s="17" t="n"/>
      <c r="B95" s="8">
        <f>IF(A95="","",IFERROR(INDEX(แผนคลิป!$B:$B,MATCH(A95,แผนคลิป!$A:$A,0)),""))</f>
        <v/>
      </c>
      <c r="C95" s="17" t="n"/>
      <c r="D95" s="17" t="n"/>
      <c r="E95" s="17" t="n"/>
      <c r="F95" s="17" t="n"/>
      <c r="G95" s="8">
        <f>IF(OR(A95="",C95=""),"",IF(D95="",IF(COUNTIFS(เฉลย!$A:$A,A95,เฉลย!$C:$C,C95)&gt;0,"Y","N"),IF(COUNTIFS(เฉลย!$A:$A,A95,เฉลย!$C:$C,C95,เฉลย!$D:$D,"&lt;="&amp;(N(E95)+2),เฉลย!$E:$E,"&gt;="&amp;(D95-2))&gt;0,"Y","N")))</f>
        <v/>
      </c>
    </row>
    <row r="96">
      <c r="A96" s="17" t="n"/>
      <c r="B96" s="8">
        <f>IF(A96="","",IFERROR(INDEX(แผนคลิป!$B:$B,MATCH(A96,แผนคลิป!$A:$A,0)),""))</f>
        <v/>
      </c>
      <c r="C96" s="17" t="n"/>
      <c r="D96" s="17" t="n"/>
      <c r="E96" s="17" t="n"/>
      <c r="F96" s="17" t="n"/>
      <c r="G96" s="8">
        <f>IF(OR(A96="",C96=""),"",IF(D96="",IF(COUNTIFS(เฉลย!$A:$A,A96,เฉลย!$C:$C,C96)&gt;0,"Y","N"),IF(COUNTIFS(เฉลย!$A:$A,A96,เฉลย!$C:$C,C96,เฉลย!$D:$D,"&lt;="&amp;(N(E96)+2),เฉลย!$E:$E,"&gt;="&amp;(D96-2))&gt;0,"Y","N")))</f>
        <v/>
      </c>
    </row>
    <row r="97">
      <c r="A97" s="17" t="n"/>
      <c r="B97" s="8">
        <f>IF(A97="","",IFERROR(INDEX(แผนคลิป!$B:$B,MATCH(A97,แผนคลิป!$A:$A,0)),""))</f>
        <v/>
      </c>
      <c r="C97" s="17" t="n"/>
      <c r="D97" s="17" t="n"/>
      <c r="E97" s="17" t="n"/>
      <c r="F97" s="17" t="n"/>
      <c r="G97" s="8">
        <f>IF(OR(A97="",C97=""),"",IF(D97="",IF(COUNTIFS(เฉลย!$A:$A,A97,เฉลย!$C:$C,C97)&gt;0,"Y","N"),IF(COUNTIFS(เฉลย!$A:$A,A97,เฉลย!$C:$C,C97,เฉลย!$D:$D,"&lt;="&amp;(N(E97)+2),เฉลย!$E:$E,"&gt;="&amp;(D97-2))&gt;0,"Y","N")))</f>
        <v/>
      </c>
    </row>
    <row r="98">
      <c r="A98" s="17" t="n"/>
      <c r="B98" s="8">
        <f>IF(A98="","",IFERROR(INDEX(แผนคลิป!$B:$B,MATCH(A98,แผนคลิป!$A:$A,0)),""))</f>
        <v/>
      </c>
      <c r="C98" s="17" t="n"/>
      <c r="D98" s="17" t="n"/>
      <c r="E98" s="17" t="n"/>
      <c r="F98" s="17" t="n"/>
      <c r="G98" s="8">
        <f>IF(OR(A98="",C98=""),"",IF(D98="",IF(COUNTIFS(เฉลย!$A:$A,A98,เฉลย!$C:$C,C98)&gt;0,"Y","N"),IF(COUNTIFS(เฉลย!$A:$A,A98,เฉลย!$C:$C,C98,เฉลย!$D:$D,"&lt;="&amp;(N(E98)+2),เฉลย!$E:$E,"&gt;="&amp;(D98-2))&gt;0,"Y","N")))</f>
        <v/>
      </c>
    </row>
    <row r="99">
      <c r="A99" s="17" t="n"/>
      <c r="B99" s="8">
        <f>IF(A99="","",IFERROR(INDEX(แผนคลิป!$B:$B,MATCH(A99,แผนคลิป!$A:$A,0)),""))</f>
        <v/>
      </c>
      <c r="C99" s="17" t="n"/>
      <c r="D99" s="17" t="n"/>
      <c r="E99" s="17" t="n"/>
      <c r="F99" s="17" t="n"/>
      <c r="G99" s="8">
        <f>IF(OR(A99="",C99=""),"",IF(D99="",IF(COUNTIFS(เฉลย!$A:$A,A99,เฉลย!$C:$C,C99)&gt;0,"Y","N"),IF(COUNTIFS(เฉลย!$A:$A,A99,เฉลย!$C:$C,C99,เฉลย!$D:$D,"&lt;="&amp;(N(E99)+2),เฉลย!$E:$E,"&gt;="&amp;(D99-2))&gt;0,"Y","N")))</f>
        <v/>
      </c>
    </row>
    <row r="100">
      <c r="A100" s="17" t="n"/>
      <c r="B100" s="8">
        <f>IF(A100="","",IFERROR(INDEX(แผนคลิป!$B:$B,MATCH(A100,แผนคลิป!$A:$A,0)),""))</f>
        <v/>
      </c>
      <c r="C100" s="17" t="n"/>
      <c r="D100" s="17" t="n"/>
      <c r="E100" s="17" t="n"/>
      <c r="F100" s="17" t="n"/>
      <c r="G100" s="8">
        <f>IF(OR(A100="",C100=""),"",IF(D100="",IF(COUNTIFS(เฉลย!$A:$A,A100,เฉลย!$C:$C,C100)&gt;0,"Y","N"),IF(COUNTIFS(เฉลย!$A:$A,A100,เฉลย!$C:$C,C100,เฉลย!$D:$D,"&lt;="&amp;(N(E100)+2),เฉลย!$E:$E,"&gt;="&amp;(D100-2))&gt;0,"Y","N")))</f>
        <v/>
      </c>
    </row>
    <row r="101">
      <c r="A101" s="17" t="n"/>
      <c r="B101" s="8">
        <f>IF(A101="","",IFERROR(INDEX(แผนคลิป!$B:$B,MATCH(A101,แผนคลิป!$A:$A,0)),""))</f>
        <v/>
      </c>
      <c r="C101" s="17" t="n"/>
      <c r="D101" s="17" t="n"/>
      <c r="E101" s="17" t="n"/>
      <c r="F101" s="17" t="n"/>
      <c r="G101" s="8">
        <f>IF(OR(A101="",C101=""),"",IF(D101="",IF(COUNTIFS(เฉลย!$A:$A,A101,เฉลย!$C:$C,C101)&gt;0,"Y","N"),IF(COUNTIFS(เฉลย!$A:$A,A101,เฉลย!$C:$C,C101,เฉลย!$D:$D,"&lt;="&amp;(N(E101)+2),เฉลย!$E:$E,"&gt;="&amp;(D101-2))&gt;0,"Y","N")))</f>
        <v/>
      </c>
    </row>
    <row r="102">
      <c r="A102" s="17" t="n"/>
      <c r="B102" s="8">
        <f>IF(A102="","",IFERROR(INDEX(แผนคลิป!$B:$B,MATCH(A102,แผนคลิป!$A:$A,0)),""))</f>
        <v/>
      </c>
      <c r="C102" s="17" t="n"/>
      <c r="D102" s="17" t="n"/>
      <c r="E102" s="17" t="n"/>
      <c r="F102" s="17" t="n"/>
      <c r="G102" s="8">
        <f>IF(OR(A102="",C102=""),"",IF(D102="",IF(COUNTIFS(เฉลย!$A:$A,A102,เฉลย!$C:$C,C102)&gt;0,"Y","N"),IF(COUNTIFS(เฉลย!$A:$A,A102,เฉลย!$C:$C,C102,เฉลย!$D:$D,"&lt;="&amp;(N(E102)+2),เฉลย!$E:$E,"&gt;="&amp;(D102-2))&gt;0,"Y","N")))</f>
        <v/>
      </c>
    </row>
    <row r="103">
      <c r="A103" s="17" t="n"/>
      <c r="B103" s="8">
        <f>IF(A103="","",IFERROR(INDEX(แผนคลิป!$B:$B,MATCH(A103,แผนคลิป!$A:$A,0)),""))</f>
        <v/>
      </c>
      <c r="C103" s="17" t="n"/>
      <c r="D103" s="17" t="n"/>
      <c r="E103" s="17" t="n"/>
      <c r="F103" s="17" t="n"/>
      <c r="G103" s="8">
        <f>IF(OR(A103="",C103=""),"",IF(D103="",IF(COUNTIFS(เฉลย!$A:$A,A103,เฉลย!$C:$C,C103)&gt;0,"Y","N"),IF(COUNTIFS(เฉลย!$A:$A,A103,เฉลย!$C:$C,C103,เฉลย!$D:$D,"&lt;="&amp;(N(E103)+2),เฉลย!$E:$E,"&gt;="&amp;(D103-2))&gt;0,"Y","N")))</f>
        <v/>
      </c>
    </row>
    <row r="104">
      <c r="A104" s="17" t="n"/>
      <c r="B104" s="8">
        <f>IF(A104="","",IFERROR(INDEX(แผนคลิป!$B:$B,MATCH(A104,แผนคลิป!$A:$A,0)),""))</f>
        <v/>
      </c>
      <c r="C104" s="17" t="n"/>
      <c r="D104" s="17" t="n"/>
      <c r="E104" s="17" t="n"/>
      <c r="F104" s="17" t="n"/>
      <c r="G104" s="8">
        <f>IF(OR(A104="",C104=""),"",IF(D104="",IF(COUNTIFS(เฉลย!$A:$A,A104,เฉลย!$C:$C,C104)&gt;0,"Y","N"),IF(COUNTIFS(เฉลย!$A:$A,A104,เฉลย!$C:$C,C104,เฉลย!$D:$D,"&lt;="&amp;(N(E104)+2),เฉลย!$E:$E,"&gt;="&amp;(D104-2))&gt;0,"Y","N")))</f>
        <v/>
      </c>
    </row>
    <row r="105">
      <c r="A105" s="17" t="n"/>
      <c r="B105" s="8">
        <f>IF(A105="","",IFERROR(INDEX(แผนคลิป!$B:$B,MATCH(A105,แผนคลิป!$A:$A,0)),""))</f>
        <v/>
      </c>
      <c r="C105" s="17" t="n"/>
      <c r="D105" s="17" t="n"/>
      <c r="E105" s="17" t="n"/>
      <c r="F105" s="17" t="n"/>
      <c r="G105" s="8">
        <f>IF(OR(A105="",C105=""),"",IF(D105="",IF(COUNTIFS(เฉลย!$A:$A,A105,เฉลย!$C:$C,C105)&gt;0,"Y","N"),IF(COUNTIFS(เฉลย!$A:$A,A105,เฉลย!$C:$C,C105,เฉลย!$D:$D,"&lt;="&amp;(N(E105)+2),เฉลย!$E:$E,"&gt;="&amp;(D105-2))&gt;0,"Y","N")))</f>
        <v/>
      </c>
    </row>
    <row r="106">
      <c r="A106" s="17" t="n"/>
      <c r="B106" s="8">
        <f>IF(A106="","",IFERROR(INDEX(แผนคลิป!$B:$B,MATCH(A106,แผนคลิป!$A:$A,0)),""))</f>
        <v/>
      </c>
      <c r="C106" s="17" t="n"/>
      <c r="D106" s="17" t="n"/>
      <c r="E106" s="17" t="n"/>
      <c r="F106" s="17" t="n"/>
      <c r="G106" s="8">
        <f>IF(OR(A106="",C106=""),"",IF(D106="",IF(COUNTIFS(เฉลย!$A:$A,A106,เฉลย!$C:$C,C106)&gt;0,"Y","N"),IF(COUNTIFS(เฉลย!$A:$A,A106,เฉลย!$C:$C,C106,เฉลย!$D:$D,"&lt;="&amp;(N(E106)+2),เฉลย!$E:$E,"&gt;="&amp;(D106-2))&gt;0,"Y","N")))</f>
        <v/>
      </c>
    </row>
    <row r="107">
      <c r="A107" s="17" t="n"/>
      <c r="B107" s="8">
        <f>IF(A107="","",IFERROR(INDEX(แผนคลิป!$B:$B,MATCH(A107,แผนคลิป!$A:$A,0)),""))</f>
        <v/>
      </c>
      <c r="C107" s="17" t="n"/>
      <c r="D107" s="17" t="n"/>
      <c r="E107" s="17" t="n"/>
      <c r="F107" s="17" t="n"/>
      <c r="G107" s="8">
        <f>IF(OR(A107="",C107=""),"",IF(D107="",IF(COUNTIFS(เฉลย!$A:$A,A107,เฉลย!$C:$C,C107)&gt;0,"Y","N"),IF(COUNTIFS(เฉลย!$A:$A,A107,เฉลย!$C:$C,C107,เฉลย!$D:$D,"&lt;="&amp;(N(E107)+2),เฉลย!$E:$E,"&gt;="&amp;(D107-2))&gt;0,"Y","N")))</f>
        <v/>
      </c>
    </row>
    <row r="108">
      <c r="A108" s="17" t="n"/>
      <c r="B108" s="8">
        <f>IF(A108="","",IFERROR(INDEX(แผนคลิป!$B:$B,MATCH(A108,แผนคลิป!$A:$A,0)),""))</f>
        <v/>
      </c>
      <c r="C108" s="17" t="n"/>
      <c r="D108" s="17" t="n"/>
      <c r="E108" s="17" t="n"/>
      <c r="F108" s="17" t="n"/>
      <c r="G108" s="8">
        <f>IF(OR(A108="",C108=""),"",IF(D108="",IF(COUNTIFS(เฉลย!$A:$A,A108,เฉลย!$C:$C,C108)&gt;0,"Y","N"),IF(COUNTIFS(เฉลย!$A:$A,A108,เฉลย!$C:$C,C108,เฉลย!$D:$D,"&lt;="&amp;(N(E108)+2),เฉลย!$E:$E,"&gt;="&amp;(D108-2))&gt;0,"Y","N")))</f>
        <v/>
      </c>
    </row>
    <row r="109">
      <c r="A109" s="17" t="n"/>
      <c r="B109" s="8">
        <f>IF(A109="","",IFERROR(INDEX(แผนคลิป!$B:$B,MATCH(A109,แผนคลิป!$A:$A,0)),""))</f>
        <v/>
      </c>
      <c r="C109" s="17" t="n"/>
      <c r="D109" s="17" t="n"/>
      <c r="E109" s="17" t="n"/>
      <c r="F109" s="17" t="n"/>
      <c r="G109" s="8">
        <f>IF(OR(A109="",C109=""),"",IF(D109="",IF(COUNTIFS(เฉลย!$A:$A,A109,เฉลย!$C:$C,C109)&gt;0,"Y","N"),IF(COUNTIFS(เฉลย!$A:$A,A109,เฉลย!$C:$C,C109,เฉลย!$D:$D,"&lt;="&amp;(N(E109)+2),เฉลย!$E:$E,"&gt;="&amp;(D109-2))&gt;0,"Y","N")))</f>
        <v/>
      </c>
    </row>
    <row r="110">
      <c r="A110" s="17" t="n"/>
      <c r="B110" s="8">
        <f>IF(A110="","",IFERROR(INDEX(แผนคลิป!$B:$B,MATCH(A110,แผนคลิป!$A:$A,0)),""))</f>
        <v/>
      </c>
      <c r="C110" s="17" t="n"/>
      <c r="D110" s="17" t="n"/>
      <c r="E110" s="17" t="n"/>
      <c r="F110" s="17" t="n"/>
      <c r="G110" s="8">
        <f>IF(OR(A110="",C110=""),"",IF(D110="",IF(COUNTIFS(เฉลย!$A:$A,A110,เฉลย!$C:$C,C110)&gt;0,"Y","N"),IF(COUNTIFS(เฉลย!$A:$A,A110,เฉลย!$C:$C,C110,เฉลย!$D:$D,"&lt;="&amp;(N(E110)+2),เฉลย!$E:$E,"&gt;="&amp;(D110-2))&gt;0,"Y","N")))</f>
        <v/>
      </c>
    </row>
    <row r="111">
      <c r="A111" s="17" t="n"/>
      <c r="B111" s="8">
        <f>IF(A111="","",IFERROR(INDEX(แผนคลิป!$B:$B,MATCH(A111,แผนคลิป!$A:$A,0)),""))</f>
        <v/>
      </c>
      <c r="C111" s="17" t="n"/>
      <c r="D111" s="17" t="n"/>
      <c r="E111" s="17" t="n"/>
      <c r="F111" s="17" t="n"/>
      <c r="G111" s="8">
        <f>IF(OR(A111="",C111=""),"",IF(D111="",IF(COUNTIFS(เฉลย!$A:$A,A111,เฉลย!$C:$C,C111)&gt;0,"Y","N"),IF(COUNTIFS(เฉลย!$A:$A,A111,เฉลย!$C:$C,C111,เฉลย!$D:$D,"&lt;="&amp;(N(E111)+2),เฉลย!$E:$E,"&gt;="&amp;(D111-2))&gt;0,"Y","N")))</f>
        <v/>
      </c>
    </row>
    <row r="112">
      <c r="A112" s="17" t="n"/>
      <c r="B112" s="8">
        <f>IF(A112="","",IFERROR(INDEX(แผนคลิป!$B:$B,MATCH(A112,แผนคลิป!$A:$A,0)),""))</f>
        <v/>
      </c>
      <c r="C112" s="17" t="n"/>
      <c r="D112" s="17" t="n"/>
      <c r="E112" s="17" t="n"/>
      <c r="F112" s="17" t="n"/>
      <c r="G112" s="8">
        <f>IF(OR(A112="",C112=""),"",IF(D112="",IF(COUNTIFS(เฉลย!$A:$A,A112,เฉลย!$C:$C,C112)&gt;0,"Y","N"),IF(COUNTIFS(เฉลย!$A:$A,A112,เฉลย!$C:$C,C112,เฉลย!$D:$D,"&lt;="&amp;(N(E112)+2),เฉลย!$E:$E,"&gt;="&amp;(D112-2))&gt;0,"Y","N")))</f>
        <v/>
      </c>
    </row>
    <row r="113">
      <c r="A113" s="17" t="n"/>
      <c r="B113" s="8">
        <f>IF(A113="","",IFERROR(INDEX(แผนคลิป!$B:$B,MATCH(A113,แผนคลิป!$A:$A,0)),""))</f>
        <v/>
      </c>
      <c r="C113" s="17" t="n"/>
      <c r="D113" s="17" t="n"/>
      <c r="E113" s="17" t="n"/>
      <c r="F113" s="17" t="n"/>
      <c r="G113" s="8">
        <f>IF(OR(A113="",C113=""),"",IF(D113="",IF(COUNTIFS(เฉลย!$A:$A,A113,เฉลย!$C:$C,C113)&gt;0,"Y","N"),IF(COUNTIFS(เฉลย!$A:$A,A113,เฉลย!$C:$C,C113,เฉลย!$D:$D,"&lt;="&amp;(N(E113)+2),เฉลย!$E:$E,"&gt;="&amp;(D113-2))&gt;0,"Y","N")))</f>
        <v/>
      </c>
    </row>
    <row r="114">
      <c r="A114" s="17" t="n"/>
      <c r="B114" s="8">
        <f>IF(A114="","",IFERROR(INDEX(แผนคลิป!$B:$B,MATCH(A114,แผนคลิป!$A:$A,0)),""))</f>
        <v/>
      </c>
      <c r="C114" s="17" t="n"/>
      <c r="D114" s="17" t="n"/>
      <c r="E114" s="17" t="n"/>
      <c r="F114" s="17" t="n"/>
      <c r="G114" s="8">
        <f>IF(OR(A114="",C114=""),"",IF(D114="",IF(COUNTIFS(เฉลย!$A:$A,A114,เฉลย!$C:$C,C114)&gt;0,"Y","N"),IF(COUNTIFS(เฉลย!$A:$A,A114,เฉลย!$C:$C,C114,เฉลย!$D:$D,"&lt;="&amp;(N(E114)+2),เฉลย!$E:$E,"&gt;="&amp;(D114-2))&gt;0,"Y","N")))</f>
        <v/>
      </c>
    </row>
    <row r="115">
      <c r="A115" s="17" t="n"/>
      <c r="B115" s="8">
        <f>IF(A115="","",IFERROR(INDEX(แผนคลิป!$B:$B,MATCH(A115,แผนคลิป!$A:$A,0)),""))</f>
        <v/>
      </c>
      <c r="C115" s="17" t="n"/>
      <c r="D115" s="17" t="n"/>
      <c r="E115" s="17" t="n"/>
      <c r="F115" s="17" t="n"/>
      <c r="G115" s="8">
        <f>IF(OR(A115="",C115=""),"",IF(D115="",IF(COUNTIFS(เฉลย!$A:$A,A115,เฉลย!$C:$C,C115)&gt;0,"Y","N"),IF(COUNTIFS(เฉลย!$A:$A,A115,เฉลย!$C:$C,C115,เฉลย!$D:$D,"&lt;="&amp;(N(E115)+2),เฉลย!$E:$E,"&gt;="&amp;(D115-2))&gt;0,"Y","N")))</f>
        <v/>
      </c>
    </row>
    <row r="116">
      <c r="A116" s="17" t="n"/>
      <c r="B116" s="8">
        <f>IF(A116="","",IFERROR(INDEX(แผนคลิป!$B:$B,MATCH(A116,แผนคลิป!$A:$A,0)),""))</f>
        <v/>
      </c>
      <c r="C116" s="17" t="n"/>
      <c r="D116" s="17" t="n"/>
      <c r="E116" s="17" t="n"/>
      <c r="F116" s="17" t="n"/>
      <c r="G116" s="8">
        <f>IF(OR(A116="",C116=""),"",IF(D116="",IF(COUNTIFS(เฉลย!$A:$A,A116,เฉลย!$C:$C,C116)&gt;0,"Y","N"),IF(COUNTIFS(เฉลย!$A:$A,A116,เฉลย!$C:$C,C116,เฉลย!$D:$D,"&lt;="&amp;(N(E116)+2),เฉลย!$E:$E,"&gt;="&amp;(D116-2))&gt;0,"Y","N")))</f>
        <v/>
      </c>
    </row>
    <row r="117">
      <c r="A117" s="17" t="n"/>
      <c r="B117" s="8">
        <f>IF(A117="","",IFERROR(INDEX(แผนคลิป!$B:$B,MATCH(A117,แผนคลิป!$A:$A,0)),""))</f>
        <v/>
      </c>
      <c r="C117" s="17" t="n"/>
      <c r="D117" s="17" t="n"/>
      <c r="E117" s="17" t="n"/>
      <c r="F117" s="17" t="n"/>
      <c r="G117" s="8">
        <f>IF(OR(A117="",C117=""),"",IF(D117="",IF(COUNTIFS(เฉลย!$A:$A,A117,เฉลย!$C:$C,C117)&gt;0,"Y","N"),IF(COUNTIFS(เฉลย!$A:$A,A117,เฉลย!$C:$C,C117,เฉลย!$D:$D,"&lt;="&amp;(N(E117)+2),เฉลย!$E:$E,"&gt;="&amp;(D117-2))&gt;0,"Y","N")))</f>
        <v/>
      </c>
    </row>
    <row r="118">
      <c r="A118" s="17" t="n"/>
      <c r="B118" s="8">
        <f>IF(A118="","",IFERROR(INDEX(แผนคลิป!$B:$B,MATCH(A118,แผนคลิป!$A:$A,0)),""))</f>
        <v/>
      </c>
      <c r="C118" s="17" t="n"/>
      <c r="D118" s="17" t="n"/>
      <c r="E118" s="17" t="n"/>
      <c r="F118" s="17" t="n"/>
      <c r="G118" s="8">
        <f>IF(OR(A118="",C118=""),"",IF(D118="",IF(COUNTIFS(เฉลย!$A:$A,A118,เฉลย!$C:$C,C118)&gt;0,"Y","N"),IF(COUNTIFS(เฉลย!$A:$A,A118,เฉลย!$C:$C,C118,เฉลย!$D:$D,"&lt;="&amp;(N(E118)+2),เฉลย!$E:$E,"&gt;="&amp;(D118-2))&gt;0,"Y","N")))</f>
        <v/>
      </c>
    </row>
    <row r="119">
      <c r="A119" s="17" t="n"/>
      <c r="B119" s="8">
        <f>IF(A119="","",IFERROR(INDEX(แผนคลิป!$B:$B,MATCH(A119,แผนคลิป!$A:$A,0)),""))</f>
        <v/>
      </c>
      <c r="C119" s="17" t="n"/>
      <c r="D119" s="17" t="n"/>
      <c r="E119" s="17" t="n"/>
      <c r="F119" s="17" t="n"/>
      <c r="G119" s="8">
        <f>IF(OR(A119="",C119=""),"",IF(D119="",IF(COUNTIFS(เฉลย!$A:$A,A119,เฉลย!$C:$C,C119)&gt;0,"Y","N"),IF(COUNTIFS(เฉลย!$A:$A,A119,เฉลย!$C:$C,C119,เฉลย!$D:$D,"&lt;="&amp;(N(E119)+2),เฉลย!$E:$E,"&gt;="&amp;(D119-2))&gt;0,"Y","N")))</f>
        <v/>
      </c>
    </row>
    <row r="120">
      <c r="A120" s="17" t="n"/>
      <c r="B120" s="8">
        <f>IF(A120="","",IFERROR(INDEX(แผนคลิป!$B:$B,MATCH(A120,แผนคลิป!$A:$A,0)),""))</f>
        <v/>
      </c>
      <c r="C120" s="17" t="n"/>
      <c r="D120" s="17" t="n"/>
      <c r="E120" s="17" t="n"/>
      <c r="F120" s="17" t="n"/>
      <c r="G120" s="8">
        <f>IF(OR(A120="",C120=""),"",IF(D120="",IF(COUNTIFS(เฉลย!$A:$A,A120,เฉลย!$C:$C,C120)&gt;0,"Y","N"),IF(COUNTIFS(เฉลย!$A:$A,A120,เฉลย!$C:$C,C120,เฉลย!$D:$D,"&lt;="&amp;(N(E120)+2),เฉลย!$E:$E,"&gt;="&amp;(D120-2))&gt;0,"Y","N")))</f>
        <v/>
      </c>
    </row>
    <row r="121">
      <c r="A121" s="17" t="n"/>
      <c r="B121" s="8">
        <f>IF(A121="","",IFERROR(INDEX(แผนคลิป!$B:$B,MATCH(A121,แผนคลิป!$A:$A,0)),""))</f>
        <v/>
      </c>
      <c r="C121" s="17" t="n"/>
      <c r="D121" s="17" t="n"/>
      <c r="E121" s="17" t="n"/>
      <c r="F121" s="17" t="n"/>
      <c r="G121" s="8">
        <f>IF(OR(A121="",C121=""),"",IF(D121="",IF(COUNTIFS(เฉลย!$A:$A,A121,เฉลย!$C:$C,C121)&gt;0,"Y","N"),IF(COUNTIFS(เฉลย!$A:$A,A121,เฉลย!$C:$C,C121,เฉลย!$D:$D,"&lt;="&amp;(N(E121)+2),เฉลย!$E:$E,"&gt;="&amp;(D121-2))&gt;0,"Y","N")))</f>
        <v/>
      </c>
    </row>
    <row r="122">
      <c r="A122" s="17" t="n"/>
      <c r="B122" s="8">
        <f>IF(A122="","",IFERROR(INDEX(แผนคลิป!$B:$B,MATCH(A122,แผนคลิป!$A:$A,0)),""))</f>
        <v/>
      </c>
      <c r="C122" s="17" t="n"/>
      <c r="D122" s="17" t="n"/>
      <c r="E122" s="17" t="n"/>
      <c r="F122" s="17" t="n"/>
      <c r="G122" s="8">
        <f>IF(OR(A122="",C122=""),"",IF(D122="",IF(COUNTIFS(เฉลย!$A:$A,A122,เฉลย!$C:$C,C122)&gt;0,"Y","N"),IF(COUNTIFS(เฉลย!$A:$A,A122,เฉลย!$C:$C,C122,เฉลย!$D:$D,"&lt;="&amp;(N(E122)+2),เฉลย!$E:$E,"&gt;="&amp;(D122-2))&gt;0,"Y","N")))</f>
        <v/>
      </c>
    </row>
    <row r="123">
      <c r="A123" s="17" t="n"/>
      <c r="B123" s="8">
        <f>IF(A123="","",IFERROR(INDEX(แผนคลิป!$B:$B,MATCH(A123,แผนคลิป!$A:$A,0)),""))</f>
        <v/>
      </c>
      <c r="C123" s="17" t="n"/>
      <c r="D123" s="17" t="n"/>
      <c r="E123" s="17" t="n"/>
      <c r="F123" s="17" t="n"/>
      <c r="G123" s="8">
        <f>IF(OR(A123="",C123=""),"",IF(D123="",IF(COUNTIFS(เฉลย!$A:$A,A123,เฉลย!$C:$C,C123)&gt;0,"Y","N"),IF(COUNTIFS(เฉลย!$A:$A,A123,เฉลย!$C:$C,C123,เฉลย!$D:$D,"&lt;="&amp;(N(E123)+2),เฉลย!$E:$E,"&gt;="&amp;(D123-2))&gt;0,"Y","N")))</f>
        <v/>
      </c>
    </row>
    <row r="124">
      <c r="A124" s="17" t="n"/>
      <c r="B124" s="8">
        <f>IF(A124="","",IFERROR(INDEX(แผนคลิป!$B:$B,MATCH(A124,แผนคลิป!$A:$A,0)),""))</f>
        <v/>
      </c>
      <c r="C124" s="17" t="n"/>
      <c r="D124" s="17" t="n"/>
      <c r="E124" s="17" t="n"/>
      <c r="F124" s="17" t="n"/>
      <c r="G124" s="8">
        <f>IF(OR(A124="",C124=""),"",IF(D124="",IF(COUNTIFS(เฉลย!$A:$A,A124,เฉลย!$C:$C,C124)&gt;0,"Y","N"),IF(COUNTIFS(เฉลย!$A:$A,A124,เฉลย!$C:$C,C124,เฉลย!$D:$D,"&lt;="&amp;(N(E124)+2),เฉลย!$E:$E,"&gt;="&amp;(D124-2))&gt;0,"Y","N")))</f>
        <v/>
      </c>
    </row>
    <row r="125">
      <c r="A125" s="17" t="n"/>
      <c r="B125" s="8">
        <f>IF(A125="","",IFERROR(INDEX(แผนคลิป!$B:$B,MATCH(A125,แผนคลิป!$A:$A,0)),""))</f>
        <v/>
      </c>
      <c r="C125" s="17" t="n"/>
      <c r="D125" s="17" t="n"/>
      <c r="E125" s="17" t="n"/>
      <c r="F125" s="17" t="n"/>
      <c r="G125" s="8">
        <f>IF(OR(A125="",C125=""),"",IF(D125="",IF(COUNTIFS(เฉลย!$A:$A,A125,เฉลย!$C:$C,C125)&gt;0,"Y","N"),IF(COUNTIFS(เฉลย!$A:$A,A125,เฉลย!$C:$C,C125,เฉลย!$D:$D,"&lt;="&amp;(N(E125)+2),เฉลย!$E:$E,"&gt;="&amp;(D125-2))&gt;0,"Y","N")))</f>
        <v/>
      </c>
    </row>
    <row r="126">
      <c r="A126" s="17" t="n"/>
      <c r="B126" s="8">
        <f>IF(A126="","",IFERROR(INDEX(แผนคลิป!$B:$B,MATCH(A126,แผนคลิป!$A:$A,0)),""))</f>
        <v/>
      </c>
      <c r="C126" s="17" t="n"/>
      <c r="D126" s="17" t="n"/>
      <c r="E126" s="17" t="n"/>
      <c r="F126" s="17" t="n"/>
      <c r="G126" s="8">
        <f>IF(OR(A126="",C126=""),"",IF(D126="",IF(COUNTIFS(เฉลย!$A:$A,A126,เฉลย!$C:$C,C126)&gt;0,"Y","N"),IF(COUNTIFS(เฉลย!$A:$A,A126,เฉลย!$C:$C,C126,เฉลย!$D:$D,"&lt;="&amp;(N(E126)+2),เฉลย!$E:$E,"&gt;="&amp;(D126-2))&gt;0,"Y","N")))</f>
        <v/>
      </c>
    </row>
    <row r="127">
      <c r="A127" s="17" t="n"/>
      <c r="B127" s="8">
        <f>IF(A127="","",IFERROR(INDEX(แผนคลิป!$B:$B,MATCH(A127,แผนคลิป!$A:$A,0)),""))</f>
        <v/>
      </c>
      <c r="C127" s="17" t="n"/>
      <c r="D127" s="17" t="n"/>
      <c r="E127" s="17" t="n"/>
      <c r="F127" s="17" t="n"/>
      <c r="G127" s="8">
        <f>IF(OR(A127="",C127=""),"",IF(D127="",IF(COUNTIFS(เฉลย!$A:$A,A127,เฉลย!$C:$C,C127)&gt;0,"Y","N"),IF(COUNTIFS(เฉลย!$A:$A,A127,เฉลย!$C:$C,C127,เฉลย!$D:$D,"&lt;="&amp;(N(E127)+2),เฉลย!$E:$E,"&gt;="&amp;(D127-2))&gt;0,"Y","N")))</f>
        <v/>
      </c>
    </row>
    <row r="128">
      <c r="A128" s="17" t="n"/>
      <c r="B128" s="8">
        <f>IF(A128="","",IFERROR(INDEX(แผนคลิป!$B:$B,MATCH(A128,แผนคลิป!$A:$A,0)),""))</f>
        <v/>
      </c>
      <c r="C128" s="17" t="n"/>
      <c r="D128" s="17" t="n"/>
      <c r="E128" s="17" t="n"/>
      <c r="F128" s="17" t="n"/>
      <c r="G128" s="8">
        <f>IF(OR(A128="",C128=""),"",IF(D128="",IF(COUNTIFS(เฉลย!$A:$A,A128,เฉลย!$C:$C,C128)&gt;0,"Y","N"),IF(COUNTIFS(เฉลย!$A:$A,A128,เฉลย!$C:$C,C128,เฉลย!$D:$D,"&lt;="&amp;(N(E128)+2),เฉลย!$E:$E,"&gt;="&amp;(D128-2))&gt;0,"Y","N")))</f>
        <v/>
      </c>
    </row>
    <row r="129">
      <c r="A129" s="17" t="n"/>
      <c r="B129" s="8">
        <f>IF(A129="","",IFERROR(INDEX(แผนคลิป!$B:$B,MATCH(A129,แผนคลิป!$A:$A,0)),""))</f>
        <v/>
      </c>
      <c r="C129" s="17" t="n"/>
      <c r="D129" s="17" t="n"/>
      <c r="E129" s="17" t="n"/>
      <c r="F129" s="17" t="n"/>
      <c r="G129" s="8">
        <f>IF(OR(A129="",C129=""),"",IF(D129="",IF(COUNTIFS(เฉลย!$A:$A,A129,เฉลย!$C:$C,C129)&gt;0,"Y","N"),IF(COUNTIFS(เฉลย!$A:$A,A129,เฉลย!$C:$C,C129,เฉลย!$D:$D,"&lt;="&amp;(N(E129)+2),เฉลย!$E:$E,"&gt;="&amp;(D129-2))&gt;0,"Y","N")))</f>
        <v/>
      </c>
    </row>
    <row r="130">
      <c r="A130" s="17" t="n"/>
      <c r="B130" s="8">
        <f>IF(A130="","",IFERROR(INDEX(แผนคลิป!$B:$B,MATCH(A130,แผนคลิป!$A:$A,0)),""))</f>
        <v/>
      </c>
      <c r="C130" s="17" t="n"/>
      <c r="D130" s="17" t="n"/>
      <c r="E130" s="17" t="n"/>
      <c r="F130" s="17" t="n"/>
      <c r="G130" s="8">
        <f>IF(OR(A130="",C130=""),"",IF(D130="",IF(COUNTIFS(เฉลย!$A:$A,A130,เฉลย!$C:$C,C130)&gt;0,"Y","N"),IF(COUNTIFS(เฉลย!$A:$A,A130,เฉลย!$C:$C,C130,เฉลย!$D:$D,"&lt;="&amp;(N(E130)+2),เฉลย!$E:$E,"&gt;="&amp;(D130-2))&gt;0,"Y","N")))</f>
        <v/>
      </c>
    </row>
    <row r="131">
      <c r="A131" s="17" t="n"/>
      <c r="B131" s="8">
        <f>IF(A131="","",IFERROR(INDEX(แผนคลิป!$B:$B,MATCH(A131,แผนคลิป!$A:$A,0)),""))</f>
        <v/>
      </c>
      <c r="C131" s="17" t="n"/>
      <c r="D131" s="17" t="n"/>
      <c r="E131" s="17" t="n"/>
      <c r="F131" s="17" t="n"/>
      <c r="G131" s="8">
        <f>IF(OR(A131="",C131=""),"",IF(D131="",IF(COUNTIFS(เฉลย!$A:$A,A131,เฉลย!$C:$C,C131)&gt;0,"Y","N"),IF(COUNTIFS(เฉลย!$A:$A,A131,เฉลย!$C:$C,C131,เฉลย!$D:$D,"&lt;="&amp;(N(E131)+2),เฉลย!$E:$E,"&gt;="&amp;(D131-2))&gt;0,"Y","N")))</f>
        <v/>
      </c>
    </row>
    <row r="132">
      <c r="A132" s="17" t="n"/>
      <c r="B132" s="8">
        <f>IF(A132="","",IFERROR(INDEX(แผนคลิป!$B:$B,MATCH(A132,แผนคลิป!$A:$A,0)),""))</f>
        <v/>
      </c>
      <c r="C132" s="17" t="n"/>
      <c r="D132" s="17" t="n"/>
      <c r="E132" s="17" t="n"/>
      <c r="F132" s="17" t="n"/>
      <c r="G132" s="8">
        <f>IF(OR(A132="",C132=""),"",IF(D132="",IF(COUNTIFS(เฉลย!$A:$A,A132,เฉลย!$C:$C,C132)&gt;0,"Y","N"),IF(COUNTIFS(เฉลย!$A:$A,A132,เฉลย!$C:$C,C132,เฉลย!$D:$D,"&lt;="&amp;(N(E132)+2),เฉลย!$E:$E,"&gt;="&amp;(D132-2))&gt;0,"Y","N")))</f>
        <v/>
      </c>
    </row>
    <row r="133">
      <c r="A133" s="17" t="n"/>
      <c r="B133" s="8">
        <f>IF(A133="","",IFERROR(INDEX(แผนคลิป!$B:$B,MATCH(A133,แผนคลิป!$A:$A,0)),""))</f>
        <v/>
      </c>
      <c r="C133" s="17" t="n"/>
      <c r="D133" s="17" t="n"/>
      <c r="E133" s="17" t="n"/>
      <c r="F133" s="17" t="n"/>
      <c r="G133" s="8">
        <f>IF(OR(A133="",C133=""),"",IF(D133="",IF(COUNTIFS(เฉลย!$A:$A,A133,เฉลย!$C:$C,C133)&gt;0,"Y","N"),IF(COUNTIFS(เฉลย!$A:$A,A133,เฉลย!$C:$C,C133,เฉลย!$D:$D,"&lt;="&amp;(N(E133)+2),เฉลย!$E:$E,"&gt;="&amp;(D133-2))&gt;0,"Y","N")))</f>
        <v/>
      </c>
    </row>
    <row r="134">
      <c r="A134" s="17" t="n"/>
      <c r="B134" s="8">
        <f>IF(A134="","",IFERROR(INDEX(แผนคลิป!$B:$B,MATCH(A134,แผนคลิป!$A:$A,0)),""))</f>
        <v/>
      </c>
      <c r="C134" s="17" t="n"/>
      <c r="D134" s="17" t="n"/>
      <c r="E134" s="17" t="n"/>
      <c r="F134" s="17" t="n"/>
      <c r="G134" s="8">
        <f>IF(OR(A134="",C134=""),"",IF(D134="",IF(COUNTIFS(เฉลย!$A:$A,A134,เฉลย!$C:$C,C134)&gt;0,"Y","N"),IF(COUNTIFS(เฉลย!$A:$A,A134,เฉลย!$C:$C,C134,เฉลย!$D:$D,"&lt;="&amp;(N(E134)+2),เฉลย!$E:$E,"&gt;="&amp;(D134-2))&gt;0,"Y","N")))</f>
        <v/>
      </c>
    </row>
    <row r="135">
      <c r="A135" s="17" t="n"/>
      <c r="B135" s="8">
        <f>IF(A135="","",IFERROR(INDEX(แผนคลิป!$B:$B,MATCH(A135,แผนคลิป!$A:$A,0)),""))</f>
        <v/>
      </c>
      <c r="C135" s="17" t="n"/>
      <c r="D135" s="17" t="n"/>
      <c r="E135" s="17" t="n"/>
      <c r="F135" s="17" t="n"/>
      <c r="G135" s="8">
        <f>IF(OR(A135="",C135=""),"",IF(D135="",IF(COUNTIFS(เฉลย!$A:$A,A135,เฉลย!$C:$C,C135)&gt;0,"Y","N"),IF(COUNTIFS(เฉลย!$A:$A,A135,เฉลย!$C:$C,C135,เฉลย!$D:$D,"&lt;="&amp;(N(E135)+2),เฉลย!$E:$E,"&gt;="&amp;(D135-2))&gt;0,"Y","N")))</f>
        <v/>
      </c>
    </row>
    <row r="136">
      <c r="A136" s="17" t="n"/>
      <c r="B136" s="8">
        <f>IF(A136="","",IFERROR(INDEX(แผนคลิป!$B:$B,MATCH(A136,แผนคลิป!$A:$A,0)),""))</f>
        <v/>
      </c>
      <c r="C136" s="17" t="n"/>
      <c r="D136" s="17" t="n"/>
      <c r="E136" s="17" t="n"/>
      <c r="F136" s="17" t="n"/>
      <c r="G136" s="8">
        <f>IF(OR(A136="",C136=""),"",IF(D136="",IF(COUNTIFS(เฉลย!$A:$A,A136,เฉลย!$C:$C,C136)&gt;0,"Y","N"),IF(COUNTIFS(เฉลย!$A:$A,A136,เฉลย!$C:$C,C136,เฉลย!$D:$D,"&lt;="&amp;(N(E136)+2),เฉลย!$E:$E,"&gt;="&amp;(D136-2))&gt;0,"Y","N")))</f>
        <v/>
      </c>
    </row>
    <row r="137">
      <c r="A137" s="17" t="n"/>
      <c r="B137" s="8">
        <f>IF(A137="","",IFERROR(INDEX(แผนคลิป!$B:$B,MATCH(A137,แผนคลิป!$A:$A,0)),""))</f>
        <v/>
      </c>
      <c r="C137" s="17" t="n"/>
      <c r="D137" s="17" t="n"/>
      <c r="E137" s="17" t="n"/>
      <c r="F137" s="17" t="n"/>
      <c r="G137" s="8">
        <f>IF(OR(A137="",C137=""),"",IF(D137="",IF(COUNTIFS(เฉลย!$A:$A,A137,เฉลย!$C:$C,C137)&gt;0,"Y","N"),IF(COUNTIFS(เฉลย!$A:$A,A137,เฉลย!$C:$C,C137,เฉลย!$D:$D,"&lt;="&amp;(N(E137)+2),เฉลย!$E:$E,"&gt;="&amp;(D137-2))&gt;0,"Y","N")))</f>
        <v/>
      </c>
    </row>
    <row r="138">
      <c r="A138" s="17" t="n"/>
      <c r="B138" s="8">
        <f>IF(A138="","",IFERROR(INDEX(แผนคลิป!$B:$B,MATCH(A138,แผนคลิป!$A:$A,0)),""))</f>
        <v/>
      </c>
      <c r="C138" s="17" t="n"/>
      <c r="D138" s="17" t="n"/>
      <c r="E138" s="17" t="n"/>
      <c r="F138" s="17" t="n"/>
      <c r="G138" s="8">
        <f>IF(OR(A138="",C138=""),"",IF(D138="",IF(COUNTIFS(เฉลย!$A:$A,A138,เฉลย!$C:$C,C138)&gt;0,"Y","N"),IF(COUNTIFS(เฉลย!$A:$A,A138,เฉลย!$C:$C,C138,เฉลย!$D:$D,"&lt;="&amp;(N(E138)+2),เฉลย!$E:$E,"&gt;="&amp;(D138-2))&gt;0,"Y","N")))</f>
        <v/>
      </c>
    </row>
    <row r="139">
      <c r="A139" s="17" t="n"/>
      <c r="B139" s="8">
        <f>IF(A139="","",IFERROR(INDEX(แผนคลิป!$B:$B,MATCH(A139,แผนคลิป!$A:$A,0)),""))</f>
        <v/>
      </c>
      <c r="C139" s="17" t="n"/>
      <c r="D139" s="17" t="n"/>
      <c r="E139" s="17" t="n"/>
      <c r="F139" s="17" t="n"/>
      <c r="G139" s="8">
        <f>IF(OR(A139="",C139=""),"",IF(D139="",IF(COUNTIFS(เฉลย!$A:$A,A139,เฉลย!$C:$C,C139)&gt;0,"Y","N"),IF(COUNTIFS(เฉลย!$A:$A,A139,เฉลย!$C:$C,C139,เฉลย!$D:$D,"&lt;="&amp;(N(E139)+2),เฉลย!$E:$E,"&gt;="&amp;(D139-2))&gt;0,"Y","N")))</f>
        <v/>
      </c>
    </row>
    <row r="140">
      <c r="A140" s="17" t="n"/>
      <c r="B140" s="8">
        <f>IF(A140="","",IFERROR(INDEX(แผนคลิป!$B:$B,MATCH(A140,แผนคลิป!$A:$A,0)),""))</f>
        <v/>
      </c>
      <c r="C140" s="17" t="n"/>
      <c r="D140" s="17" t="n"/>
      <c r="E140" s="17" t="n"/>
      <c r="F140" s="17" t="n"/>
      <c r="G140" s="8">
        <f>IF(OR(A140="",C140=""),"",IF(D140="",IF(COUNTIFS(เฉลย!$A:$A,A140,เฉลย!$C:$C,C140)&gt;0,"Y","N"),IF(COUNTIFS(เฉลย!$A:$A,A140,เฉลย!$C:$C,C140,เฉลย!$D:$D,"&lt;="&amp;(N(E140)+2),เฉลย!$E:$E,"&gt;="&amp;(D140-2))&gt;0,"Y","N")))</f>
        <v/>
      </c>
    </row>
    <row r="141">
      <c r="A141" s="17" t="n"/>
      <c r="B141" s="8">
        <f>IF(A141="","",IFERROR(INDEX(แผนคลิป!$B:$B,MATCH(A141,แผนคลิป!$A:$A,0)),""))</f>
        <v/>
      </c>
      <c r="C141" s="17" t="n"/>
      <c r="D141" s="17" t="n"/>
      <c r="E141" s="17" t="n"/>
      <c r="F141" s="17" t="n"/>
      <c r="G141" s="8">
        <f>IF(OR(A141="",C141=""),"",IF(D141="",IF(COUNTIFS(เฉลย!$A:$A,A141,เฉลย!$C:$C,C141)&gt;0,"Y","N"),IF(COUNTIFS(เฉลย!$A:$A,A141,เฉลย!$C:$C,C141,เฉลย!$D:$D,"&lt;="&amp;(N(E141)+2),เฉลย!$E:$E,"&gt;="&amp;(D141-2))&gt;0,"Y","N")))</f>
        <v/>
      </c>
    </row>
    <row r="142">
      <c r="A142" s="17" t="n"/>
      <c r="B142" s="8">
        <f>IF(A142="","",IFERROR(INDEX(แผนคลิป!$B:$B,MATCH(A142,แผนคลิป!$A:$A,0)),""))</f>
        <v/>
      </c>
      <c r="C142" s="17" t="n"/>
      <c r="D142" s="17" t="n"/>
      <c r="E142" s="17" t="n"/>
      <c r="F142" s="17" t="n"/>
      <c r="G142" s="8">
        <f>IF(OR(A142="",C142=""),"",IF(D142="",IF(COUNTIFS(เฉลย!$A:$A,A142,เฉลย!$C:$C,C142)&gt;0,"Y","N"),IF(COUNTIFS(เฉลย!$A:$A,A142,เฉลย!$C:$C,C142,เฉลย!$D:$D,"&lt;="&amp;(N(E142)+2),เฉลย!$E:$E,"&gt;="&amp;(D142-2))&gt;0,"Y","N")))</f>
        <v/>
      </c>
    </row>
    <row r="143">
      <c r="A143" s="17" t="n"/>
      <c r="B143" s="8">
        <f>IF(A143="","",IFERROR(INDEX(แผนคลิป!$B:$B,MATCH(A143,แผนคลิป!$A:$A,0)),""))</f>
        <v/>
      </c>
      <c r="C143" s="17" t="n"/>
      <c r="D143" s="17" t="n"/>
      <c r="E143" s="17" t="n"/>
      <c r="F143" s="17" t="n"/>
      <c r="G143" s="8">
        <f>IF(OR(A143="",C143=""),"",IF(D143="",IF(COUNTIFS(เฉลย!$A:$A,A143,เฉลย!$C:$C,C143)&gt;0,"Y","N"),IF(COUNTIFS(เฉลย!$A:$A,A143,เฉลย!$C:$C,C143,เฉลย!$D:$D,"&lt;="&amp;(N(E143)+2),เฉลย!$E:$E,"&gt;="&amp;(D143-2))&gt;0,"Y","N")))</f>
        <v/>
      </c>
    </row>
    <row r="144">
      <c r="A144" s="17" t="n"/>
      <c r="B144" s="8">
        <f>IF(A144="","",IFERROR(INDEX(แผนคลิป!$B:$B,MATCH(A144,แผนคลิป!$A:$A,0)),""))</f>
        <v/>
      </c>
      <c r="C144" s="17" t="n"/>
      <c r="D144" s="17" t="n"/>
      <c r="E144" s="17" t="n"/>
      <c r="F144" s="17" t="n"/>
      <c r="G144" s="8">
        <f>IF(OR(A144="",C144=""),"",IF(D144="",IF(COUNTIFS(เฉลย!$A:$A,A144,เฉลย!$C:$C,C144)&gt;0,"Y","N"),IF(COUNTIFS(เฉลย!$A:$A,A144,เฉลย!$C:$C,C144,เฉลย!$D:$D,"&lt;="&amp;(N(E144)+2),เฉลย!$E:$E,"&gt;="&amp;(D144-2))&gt;0,"Y","N")))</f>
        <v/>
      </c>
    </row>
    <row r="145">
      <c r="A145" s="17" t="n"/>
      <c r="B145" s="8">
        <f>IF(A145="","",IFERROR(INDEX(แผนคลิป!$B:$B,MATCH(A145,แผนคลิป!$A:$A,0)),""))</f>
        <v/>
      </c>
      <c r="C145" s="17" t="n"/>
      <c r="D145" s="17" t="n"/>
      <c r="E145" s="17" t="n"/>
      <c r="F145" s="17" t="n"/>
      <c r="G145" s="8">
        <f>IF(OR(A145="",C145=""),"",IF(D145="",IF(COUNTIFS(เฉลย!$A:$A,A145,เฉลย!$C:$C,C145)&gt;0,"Y","N"),IF(COUNTIFS(เฉลย!$A:$A,A145,เฉลย!$C:$C,C145,เฉลย!$D:$D,"&lt;="&amp;(N(E145)+2),เฉลย!$E:$E,"&gt;="&amp;(D145-2))&gt;0,"Y","N")))</f>
        <v/>
      </c>
    </row>
    <row r="146">
      <c r="A146" s="17" t="n"/>
      <c r="B146" s="8">
        <f>IF(A146="","",IFERROR(INDEX(แผนคลิป!$B:$B,MATCH(A146,แผนคลิป!$A:$A,0)),""))</f>
        <v/>
      </c>
      <c r="C146" s="17" t="n"/>
      <c r="D146" s="17" t="n"/>
      <c r="E146" s="17" t="n"/>
      <c r="F146" s="17" t="n"/>
      <c r="G146" s="8">
        <f>IF(OR(A146="",C146=""),"",IF(D146="",IF(COUNTIFS(เฉลย!$A:$A,A146,เฉลย!$C:$C,C146)&gt;0,"Y","N"),IF(COUNTIFS(เฉลย!$A:$A,A146,เฉลย!$C:$C,C146,เฉลย!$D:$D,"&lt;="&amp;(N(E146)+2),เฉลย!$E:$E,"&gt;="&amp;(D146-2))&gt;0,"Y","N")))</f>
        <v/>
      </c>
    </row>
    <row r="147">
      <c r="A147" s="17" t="n"/>
      <c r="B147" s="8">
        <f>IF(A147="","",IFERROR(INDEX(แผนคลิป!$B:$B,MATCH(A147,แผนคลิป!$A:$A,0)),""))</f>
        <v/>
      </c>
      <c r="C147" s="17" t="n"/>
      <c r="D147" s="17" t="n"/>
      <c r="E147" s="17" t="n"/>
      <c r="F147" s="17" t="n"/>
      <c r="G147" s="8">
        <f>IF(OR(A147="",C147=""),"",IF(D147="",IF(COUNTIFS(เฉลย!$A:$A,A147,เฉลย!$C:$C,C147)&gt;0,"Y","N"),IF(COUNTIFS(เฉลย!$A:$A,A147,เฉลย!$C:$C,C147,เฉลย!$D:$D,"&lt;="&amp;(N(E147)+2),เฉลย!$E:$E,"&gt;="&amp;(D147-2))&gt;0,"Y","N")))</f>
        <v/>
      </c>
    </row>
    <row r="148">
      <c r="A148" s="17" t="n"/>
      <c r="B148" s="8">
        <f>IF(A148="","",IFERROR(INDEX(แผนคลิป!$B:$B,MATCH(A148,แผนคลิป!$A:$A,0)),""))</f>
        <v/>
      </c>
      <c r="C148" s="17" t="n"/>
      <c r="D148" s="17" t="n"/>
      <c r="E148" s="17" t="n"/>
      <c r="F148" s="17" t="n"/>
      <c r="G148" s="8">
        <f>IF(OR(A148="",C148=""),"",IF(D148="",IF(COUNTIFS(เฉลย!$A:$A,A148,เฉลย!$C:$C,C148)&gt;0,"Y","N"),IF(COUNTIFS(เฉลย!$A:$A,A148,เฉลย!$C:$C,C148,เฉลย!$D:$D,"&lt;="&amp;(N(E148)+2),เฉลย!$E:$E,"&gt;="&amp;(D148-2))&gt;0,"Y","N")))</f>
        <v/>
      </c>
    </row>
    <row r="149">
      <c r="A149" s="17" t="n"/>
      <c r="B149" s="8">
        <f>IF(A149="","",IFERROR(INDEX(แผนคลิป!$B:$B,MATCH(A149,แผนคลิป!$A:$A,0)),""))</f>
        <v/>
      </c>
      <c r="C149" s="17" t="n"/>
      <c r="D149" s="17" t="n"/>
      <c r="E149" s="17" t="n"/>
      <c r="F149" s="17" t="n"/>
      <c r="G149" s="8">
        <f>IF(OR(A149="",C149=""),"",IF(D149="",IF(COUNTIFS(เฉลย!$A:$A,A149,เฉลย!$C:$C,C149)&gt;0,"Y","N"),IF(COUNTIFS(เฉลย!$A:$A,A149,เฉลย!$C:$C,C149,เฉลย!$D:$D,"&lt;="&amp;(N(E149)+2),เฉลย!$E:$E,"&gt;="&amp;(D149-2))&gt;0,"Y","N")))</f>
        <v/>
      </c>
    </row>
    <row r="150">
      <c r="A150" s="17" t="n"/>
      <c r="B150" s="8">
        <f>IF(A150="","",IFERROR(INDEX(แผนคลิป!$B:$B,MATCH(A150,แผนคลิป!$A:$A,0)),""))</f>
        <v/>
      </c>
      <c r="C150" s="17" t="n"/>
      <c r="D150" s="17" t="n"/>
      <c r="E150" s="17" t="n"/>
      <c r="F150" s="17" t="n"/>
      <c r="G150" s="8">
        <f>IF(OR(A150="",C150=""),"",IF(D150="",IF(COUNTIFS(เฉลย!$A:$A,A150,เฉลย!$C:$C,C150)&gt;0,"Y","N"),IF(COUNTIFS(เฉลย!$A:$A,A150,เฉลย!$C:$C,C150,เฉลย!$D:$D,"&lt;="&amp;(N(E150)+2),เฉลย!$E:$E,"&gt;="&amp;(D150-2))&gt;0,"Y","N")))</f>
        <v/>
      </c>
    </row>
    <row r="151">
      <c r="A151" s="17" t="n"/>
      <c r="B151" s="8">
        <f>IF(A151="","",IFERROR(INDEX(แผนคลิป!$B:$B,MATCH(A151,แผนคลิป!$A:$A,0)),""))</f>
        <v/>
      </c>
      <c r="C151" s="17" t="n"/>
      <c r="D151" s="17" t="n"/>
      <c r="E151" s="17" t="n"/>
      <c r="F151" s="17" t="n"/>
      <c r="G151" s="8">
        <f>IF(OR(A151="",C151=""),"",IF(D151="",IF(COUNTIFS(เฉลย!$A:$A,A151,เฉลย!$C:$C,C151)&gt;0,"Y","N"),IF(COUNTIFS(เฉลย!$A:$A,A151,เฉลย!$C:$C,C151,เฉลย!$D:$D,"&lt;="&amp;(N(E151)+2),เฉลย!$E:$E,"&gt;="&amp;(D151-2))&gt;0,"Y","N")))</f>
        <v/>
      </c>
    </row>
    <row r="152">
      <c r="A152" s="17" t="n"/>
      <c r="B152" s="8">
        <f>IF(A152="","",IFERROR(INDEX(แผนคลิป!$B:$B,MATCH(A152,แผนคลิป!$A:$A,0)),""))</f>
        <v/>
      </c>
      <c r="C152" s="17" t="n"/>
      <c r="D152" s="17" t="n"/>
      <c r="E152" s="17" t="n"/>
      <c r="F152" s="17" t="n"/>
      <c r="G152" s="8">
        <f>IF(OR(A152="",C152=""),"",IF(D152="",IF(COUNTIFS(เฉลย!$A:$A,A152,เฉลย!$C:$C,C152)&gt;0,"Y","N"),IF(COUNTIFS(เฉลย!$A:$A,A152,เฉลย!$C:$C,C152,เฉลย!$D:$D,"&lt;="&amp;(N(E152)+2),เฉลย!$E:$E,"&gt;="&amp;(D152-2))&gt;0,"Y","N")))</f>
        <v/>
      </c>
    </row>
    <row r="153">
      <c r="A153" s="17" t="n"/>
      <c r="B153" s="8">
        <f>IF(A153="","",IFERROR(INDEX(แผนคลิป!$B:$B,MATCH(A153,แผนคลิป!$A:$A,0)),""))</f>
        <v/>
      </c>
      <c r="C153" s="17" t="n"/>
      <c r="D153" s="17" t="n"/>
      <c r="E153" s="17" t="n"/>
      <c r="F153" s="17" t="n"/>
      <c r="G153" s="8">
        <f>IF(OR(A153="",C153=""),"",IF(D153="",IF(COUNTIFS(เฉลย!$A:$A,A153,เฉลย!$C:$C,C153)&gt;0,"Y","N"),IF(COUNTIFS(เฉลย!$A:$A,A153,เฉลย!$C:$C,C153,เฉลย!$D:$D,"&lt;="&amp;(N(E153)+2),เฉลย!$E:$E,"&gt;="&amp;(D153-2))&gt;0,"Y","N")))</f>
        <v/>
      </c>
    </row>
    <row r="154">
      <c r="A154" s="17" t="n"/>
      <c r="B154" s="8">
        <f>IF(A154="","",IFERROR(INDEX(แผนคลิป!$B:$B,MATCH(A154,แผนคลิป!$A:$A,0)),""))</f>
        <v/>
      </c>
      <c r="C154" s="17" t="n"/>
      <c r="D154" s="17" t="n"/>
      <c r="E154" s="17" t="n"/>
      <c r="F154" s="17" t="n"/>
      <c r="G154" s="8">
        <f>IF(OR(A154="",C154=""),"",IF(D154="",IF(COUNTIFS(เฉลย!$A:$A,A154,เฉลย!$C:$C,C154)&gt;0,"Y","N"),IF(COUNTIFS(เฉลย!$A:$A,A154,เฉลย!$C:$C,C154,เฉลย!$D:$D,"&lt;="&amp;(N(E154)+2),เฉลย!$E:$E,"&gt;="&amp;(D154-2))&gt;0,"Y","N")))</f>
        <v/>
      </c>
    </row>
    <row r="155">
      <c r="A155" s="17" t="n"/>
      <c r="B155" s="8">
        <f>IF(A155="","",IFERROR(INDEX(แผนคลิป!$B:$B,MATCH(A155,แผนคลิป!$A:$A,0)),""))</f>
        <v/>
      </c>
      <c r="C155" s="17" t="n"/>
      <c r="D155" s="17" t="n"/>
      <c r="E155" s="17" t="n"/>
      <c r="F155" s="17" t="n"/>
      <c r="G155" s="8">
        <f>IF(OR(A155="",C155=""),"",IF(D155="",IF(COUNTIFS(เฉลย!$A:$A,A155,เฉลย!$C:$C,C155)&gt;0,"Y","N"),IF(COUNTIFS(เฉลย!$A:$A,A155,เฉลย!$C:$C,C155,เฉลย!$D:$D,"&lt;="&amp;(N(E155)+2),เฉลย!$E:$E,"&gt;="&amp;(D155-2))&gt;0,"Y","N")))</f>
        <v/>
      </c>
    </row>
    <row r="156">
      <c r="A156" s="17" t="n"/>
      <c r="B156" s="8">
        <f>IF(A156="","",IFERROR(INDEX(แผนคลิป!$B:$B,MATCH(A156,แผนคลิป!$A:$A,0)),""))</f>
        <v/>
      </c>
      <c r="C156" s="17" t="n"/>
      <c r="D156" s="17" t="n"/>
      <c r="E156" s="17" t="n"/>
      <c r="F156" s="17" t="n"/>
      <c r="G156" s="8">
        <f>IF(OR(A156="",C156=""),"",IF(D156="",IF(COUNTIFS(เฉลย!$A:$A,A156,เฉลย!$C:$C,C156)&gt;0,"Y","N"),IF(COUNTIFS(เฉลย!$A:$A,A156,เฉลย!$C:$C,C156,เฉลย!$D:$D,"&lt;="&amp;(N(E156)+2),เฉลย!$E:$E,"&gt;="&amp;(D156-2))&gt;0,"Y","N")))</f>
        <v/>
      </c>
    </row>
    <row r="157">
      <c r="A157" s="17" t="n"/>
      <c r="B157" s="8">
        <f>IF(A157="","",IFERROR(INDEX(แผนคลิป!$B:$B,MATCH(A157,แผนคลิป!$A:$A,0)),""))</f>
        <v/>
      </c>
      <c r="C157" s="17" t="n"/>
      <c r="D157" s="17" t="n"/>
      <c r="E157" s="17" t="n"/>
      <c r="F157" s="17" t="n"/>
      <c r="G157" s="8">
        <f>IF(OR(A157="",C157=""),"",IF(D157="",IF(COUNTIFS(เฉลย!$A:$A,A157,เฉลย!$C:$C,C157)&gt;0,"Y","N"),IF(COUNTIFS(เฉลย!$A:$A,A157,เฉลย!$C:$C,C157,เฉลย!$D:$D,"&lt;="&amp;(N(E157)+2),เฉลย!$E:$E,"&gt;="&amp;(D157-2))&gt;0,"Y","N")))</f>
        <v/>
      </c>
    </row>
    <row r="158">
      <c r="A158" s="17" t="n"/>
      <c r="B158" s="8">
        <f>IF(A158="","",IFERROR(INDEX(แผนคลิป!$B:$B,MATCH(A158,แผนคลิป!$A:$A,0)),""))</f>
        <v/>
      </c>
      <c r="C158" s="17" t="n"/>
      <c r="D158" s="17" t="n"/>
      <c r="E158" s="17" t="n"/>
      <c r="F158" s="17" t="n"/>
      <c r="G158" s="8">
        <f>IF(OR(A158="",C158=""),"",IF(D158="",IF(COUNTIFS(เฉลย!$A:$A,A158,เฉลย!$C:$C,C158)&gt;0,"Y","N"),IF(COUNTIFS(เฉลย!$A:$A,A158,เฉลย!$C:$C,C158,เฉลย!$D:$D,"&lt;="&amp;(N(E158)+2),เฉลย!$E:$E,"&gt;="&amp;(D158-2))&gt;0,"Y","N")))</f>
        <v/>
      </c>
    </row>
    <row r="159">
      <c r="A159" s="17" t="n"/>
      <c r="B159" s="8">
        <f>IF(A159="","",IFERROR(INDEX(แผนคลิป!$B:$B,MATCH(A159,แผนคลิป!$A:$A,0)),""))</f>
        <v/>
      </c>
      <c r="C159" s="17" t="n"/>
      <c r="D159" s="17" t="n"/>
      <c r="E159" s="17" t="n"/>
      <c r="F159" s="17" t="n"/>
      <c r="G159" s="8">
        <f>IF(OR(A159="",C159=""),"",IF(D159="",IF(COUNTIFS(เฉลย!$A:$A,A159,เฉลย!$C:$C,C159)&gt;0,"Y","N"),IF(COUNTIFS(เฉลย!$A:$A,A159,เฉลย!$C:$C,C159,เฉลย!$D:$D,"&lt;="&amp;(N(E159)+2),เฉลย!$E:$E,"&gt;="&amp;(D159-2))&gt;0,"Y","N")))</f>
        <v/>
      </c>
    </row>
    <row r="160">
      <c r="A160" s="17" t="n"/>
      <c r="B160" s="8">
        <f>IF(A160="","",IFERROR(INDEX(แผนคลิป!$B:$B,MATCH(A160,แผนคลิป!$A:$A,0)),""))</f>
        <v/>
      </c>
      <c r="C160" s="17" t="n"/>
      <c r="D160" s="17" t="n"/>
      <c r="E160" s="17" t="n"/>
      <c r="F160" s="17" t="n"/>
      <c r="G160" s="8">
        <f>IF(OR(A160="",C160=""),"",IF(D160="",IF(COUNTIFS(เฉลย!$A:$A,A160,เฉลย!$C:$C,C160)&gt;0,"Y","N"),IF(COUNTIFS(เฉลย!$A:$A,A160,เฉลย!$C:$C,C160,เฉลย!$D:$D,"&lt;="&amp;(N(E160)+2),เฉลย!$E:$E,"&gt;="&amp;(D160-2))&gt;0,"Y","N")))</f>
        <v/>
      </c>
    </row>
    <row r="161">
      <c r="A161" s="17" t="n"/>
      <c r="B161" s="8">
        <f>IF(A161="","",IFERROR(INDEX(แผนคลิป!$B:$B,MATCH(A161,แผนคลิป!$A:$A,0)),""))</f>
        <v/>
      </c>
      <c r="C161" s="17" t="n"/>
      <c r="D161" s="17" t="n"/>
      <c r="E161" s="17" t="n"/>
      <c r="F161" s="17" t="n"/>
      <c r="G161" s="8">
        <f>IF(OR(A161="",C161=""),"",IF(D161="",IF(COUNTIFS(เฉลย!$A:$A,A161,เฉลย!$C:$C,C161)&gt;0,"Y","N"),IF(COUNTIFS(เฉลย!$A:$A,A161,เฉลย!$C:$C,C161,เฉลย!$D:$D,"&lt;="&amp;(N(E161)+2),เฉลย!$E:$E,"&gt;="&amp;(D161-2))&gt;0,"Y","N")))</f>
        <v/>
      </c>
    </row>
    <row r="162">
      <c r="A162" s="17" t="n"/>
      <c r="B162" s="8">
        <f>IF(A162="","",IFERROR(INDEX(แผนคลิป!$B:$B,MATCH(A162,แผนคลิป!$A:$A,0)),""))</f>
        <v/>
      </c>
      <c r="C162" s="17" t="n"/>
      <c r="D162" s="17" t="n"/>
      <c r="E162" s="17" t="n"/>
      <c r="F162" s="17" t="n"/>
      <c r="G162" s="8">
        <f>IF(OR(A162="",C162=""),"",IF(D162="",IF(COUNTIFS(เฉลย!$A:$A,A162,เฉลย!$C:$C,C162)&gt;0,"Y","N"),IF(COUNTIFS(เฉลย!$A:$A,A162,เฉลย!$C:$C,C162,เฉลย!$D:$D,"&lt;="&amp;(N(E162)+2),เฉลย!$E:$E,"&gt;="&amp;(D162-2))&gt;0,"Y","N")))</f>
        <v/>
      </c>
    </row>
    <row r="163">
      <c r="A163" s="17" t="n"/>
      <c r="B163" s="8">
        <f>IF(A163="","",IFERROR(INDEX(แผนคลิป!$B:$B,MATCH(A163,แผนคลิป!$A:$A,0)),""))</f>
        <v/>
      </c>
      <c r="C163" s="17" t="n"/>
      <c r="D163" s="17" t="n"/>
      <c r="E163" s="17" t="n"/>
      <c r="F163" s="17" t="n"/>
      <c r="G163" s="8">
        <f>IF(OR(A163="",C163=""),"",IF(D163="",IF(COUNTIFS(เฉลย!$A:$A,A163,เฉลย!$C:$C,C163)&gt;0,"Y","N"),IF(COUNTIFS(เฉลย!$A:$A,A163,เฉลย!$C:$C,C163,เฉลย!$D:$D,"&lt;="&amp;(N(E163)+2),เฉลย!$E:$E,"&gt;="&amp;(D163-2))&gt;0,"Y","N")))</f>
        <v/>
      </c>
    </row>
    <row r="164">
      <c r="A164" s="17" t="n"/>
      <c r="B164" s="8">
        <f>IF(A164="","",IFERROR(INDEX(แผนคลิป!$B:$B,MATCH(A164,แผนคลิป!$A:$A,0)),""))</f>
        <v/>
      </c>
      <c r="C164" s="17" t="n"/>
      <c r="D164" s="17" t="n"/>
      <c r="E164" s="17" t="n"/>
      <c r="F164" s="17" t="n"/>
      <c r="G164" s="8">
        <f>IF(OR(A164="",C164=""),"",IF(D164="",IF(COUNTIFS(เฉลย!$A:$A,A164,เฉลย!$C:$C,C164)&gt;0,"Y","N"),IF(COUNTIFS(เฉลย!$A:$A,A164,เฉลย!$C:$C,C164,เฉลย!$D:$D,"&lt;="&amp;(N(E164)+2),เฉลย!$E:$E,"&gt;="&amp;(D164-2))&gt;0,"Y","N")))</f>
        <v/>
      </c>
    </row>
    <row r="165">
      <c r="A165" s="17" t="n"/>
      <c r="B165" s="8">
        <f>IF(A165="","",IFERROR(INDEX(แผนคลิป!$B:$B,MATCH(A165,แผนคลิป!$A:$A,0)),""))</f>
        <v/>
      </c>
      <c r="C165" s="17" t="n"/>
      <c r="D165" s="17" t="n"/>
      <c r="E165" s="17" t="n"/>
      <c r="F165" s="17" t="n"/>
      <c r="G165" s="8">
        <f>IF(OR(A165="",C165=""),"",IF(D165="",IF(COUNTIFS(เฉลย!$A:$A,A165,เฉลย!$C:$C,C165)&gt;0,"Y","N"),IF(COUNTIFS(เฉลย!$A:$A,A165,เฉลย!$C:$C,C165,เฉลย!$D:$D,"&lt;="&amp;(N(E165)+2),เฉลย!$E:$E,"&gt;="&amp;(D165-2))&gt;0,"Y","N")))</f>
        <v/>
      </c>
    </row>
    <row r="166">
      <c r="A166" s="17" t="n"/>
      <c r="B166" s="8">
        <f>IF(A166="","",IFERROR(INDEX(แผนคลิป!$B:$B,MATCH(A166,แผนคลิป!$A:$A,0)),""))</f>
        <v/>
      </c>
      <c r="C166" s="17" t="n"/>
      <c r="D166" s="17" t="n"/>
      <c r="E166" s="17" t="n"/>
      <c r="F166" s="17" t="n"/>
      <c r="G166" s="8">
        <f>IF(OR(A166="",C166=""),"",IF(D166="",IF(COUNTIFS(เฉลย!$A:$A,A166,เฉลย!$C:$C,C166)&gt;0,"Y","N"),IF(COUNTIFS(เฉลย!$A:$A,A166,เฉลย!$C:$C,C166,เฉลย!$D:$D,"&lt;="&amp;(N(E166)+2),เฉลย!$E:$E,"&gt;="&amp;(D166-2))&gt;0,"Y","N")))</f>
        <v/>
      </c>
    </row>
    <row r="167">
      <c r="A167" s="17" t="n"/>
      <c r="B167" s="8">
        <f>IF(A167="","",IFERROR(INDEX(แผนคลิป!$B:$B,MATCH(A167,แผนคลิป!$A:$A,0)),""))</f>
        <v/>
      </c>
      <c r="C167" s="17" t="n"/>
      <c r="D167" s="17" t="n"/>
      <c r="E167" s="17" t="n"/>
      <c r="F167" s="17" t="n"/>
      <c r="G167" s="8">
        <f>IF(OR(A167="",C167=""),"",IF(D167="",IF(COUNTIFS(เฉลย!$A:$A,A167,เฉลย!$C:$C,C167)&gt;0,"Y","N"),IF(COUNTIFS(เฉลย!$A:$A,A167,เฉลย!$C:$C,C167,เฉลย!$D:$D,"&lt;="&amp;(N(E167)+2),เฉลย!$E:$E,"&gt;="&amp;(D167-2))&gt;0,"Y","N")))</f>
        <v/>
      </c>
    </row>
    <row r="168">
      <c r="A168" s="17" t="n"/>
      <c r="B168" s="8">
        <f>IF(A168="","",IFERROR(INDEX(แผนคลิป!$B:$B,MATCH(A168,แผนคลิป!$A:$A,0)),""))</f>
        <v/>
      </c>
      <c r="C168" s="17" t="n"/>
      <c r="D168" s="17" t="n"/>
      <c r="E168" s="17" t="n"/>
      <c r="F168" s="17" t="n"/>
      <c r="G168" s="8">
        <f>IF(OR(A168="",C168=""),"",IF(D168="",IF(COUNTIFS(เฉลย!$A:$A,A168,เฉลย!$C:$C,C168)&gt;0,"Y","N"),IF(COUNTIFS(เฉลย!$A:$A,A168,เฉลย!$C:$C,C168,เฉลย!$D:$D,"&lt;="&amp;(N(E168)+2),เฉลย!$E:$E,"&gt;="&amp;(D168-2))&gt;0,"Y","N")))</f>
        <v/>
      </c>
    </row>
    <row r="169">
      <c r="A169" s="17" t="n"/>
      <c r="B169" s="8">
        <f>IF(A169="","",IFERROR(INDEX(แผนคลิป!$B:$B,MATCH(A169,แผนคลิป!$A:$A,0)),""))</f>
        <v/>
      </c>
      <c r="C169" s="17" t="n"/>
      <c r="D169" s="17" t="n"/>
      <c r="E169" s="17" t="n"/>
      <c r="F169" s="17" t="n"/>
      <c r="G169" s="8">
        <f>IF(OR(A169="",C169=""),"",IF(D169="",IF(COUNTIFS(เฉลย!$A:$A,A169,เฉลย!$C:$C,C169)&gt;0,"Y","N"),IF(COUNTIFS(เฉลย!$A:$A,A169,เฉลย!$C:$C,C169,เฉลย!$D:$D,"&lt;="&amp;(N(E169)+2),เฉลย!$E:$E,"&gt;="&amp;(D169-2))&gt;0,"Y","N")))</f>
        <v/>
      </c>
    </row>
    <row r="170">
      <c r="A170" s="17" t="n"/>
      <c r="B170" s="8">
        <f>IF(A170="","",IFERROR(INDEX(แผนคลิป!$B:$B,MATCH(A170,แผนคลิป!$A:$A,0)),""))</f>
        <v/>
      </c>
      <c r="C170" s="17" t="n"/>
      <c r="D170" s="17" t="n"/>
      <c r="E170" s="17" t="n"/>
      <c r="F170" s="17" t="n"/>
      <c r="G170" s="8">
        <f>IF(OR(A170="",C170=""),"",IF(D170="",IF(COUNTIFS(เฉลย!$A:$A,A170,เฉลย!$C:$C,C170)&gt;0,"Y","N"),IF(COUNTIFS(เฉลย!$A:$A,A170,เฉลย!$C:$C,C170,เฉลย!$D:$D,"&lt;="&amp;(N(E170)+2),เฉลย!$E:$E,"&gt;="&amp;(D170-2))&gt;0,"Y","N")))</f>
        <v/>
      </c>
    </row>
    <row r="171">
      <c r="A171" s="17" t="n"/>
      <c r="B171" s="8">
        <f>IF(A171="","",IFERROR(INDEX(แผนคลิป!$B:$B,MATCH(A171,แผนคลิป!$A:$A,0)),""))</f>
        <v/>
      </c>
      <c r="C171" s="17" t="n"/>
      <c r="D171" s="17" t="n"/>
      <c r="E171" s="17" t="n"/>
      <c r="F171" s="17" t="n"/>
      <c r="G171" s="8">
        <f>IF(OR(A171="",C171=""),"",IF(D171="",IF(COUNTIFS(เฉลย!$A:$A,A171,เฉลย!$C:$C,C171)&gt;0,"Y","N"),IF(COUNTIFS(เฉลย!$A:$A,A171,เฉลย!$C:$C,C171,เฉลย!$D:$D,"&lt;="&amp;(N(E171)+2),เฉลย!$E:$E,"&gt;="&amp;(D171-2))&gt;0,"Y","N")))</f>
        <v/>
      </c>
    </row>
    <row r="172">
      <c r="A172" s="17" t="n"/>
      <c r="B172" s="8">
        <f>IF(A172="","",IFERROR(INDEX(แผนคลิป!$B:$B,MATCH(A172,แผนคลิป!$A:$A,0)),""))</f>
        <v/>
      </c>
      <c r="C172" s="17" t="n"/>
      <c r="D172" s="17" t="n"/>
      <c r="E172" s="17" t="n"/>
      <c r="F172" s="17" t="n"/>
      <c r="G172" s="8">
        <f>IF(OR(A172="",C172=""),"",IF(D172="",IF(COUNTIFS(เฉลย!$A:$A,A172,เฉลย!$C:$C,C172)&gt;0,"Y","N"),IF(COUNTIFS(เฉลย!$A:$A,A172,เฉลย!$C:$C,C172,เฉลย!$D:$D,"&lt;="&amp;(N(E172)+2),เฉลย!$E:$E,"&gt;="&amp;(D172-2))&gt;0,"Y","N")))</f>
        <v/>
      </c>
    </row>
    <row r="173">
      <c r="A173" s="17" t="n"/>
      <c r="B173" s="8">
        <f>IF(A173="","",IFERROR(INDEX(แผนคลิป!$B:$B,MATCH(A173,แผนคลิป!$A:$A,0)),""))</f>
        <v/>
      </c>
      <c r="C173" s="17" t="n"/>
      <c r="D173" s="17" t="n"/>
      <c r="E173" s="17" t="n"/>
      <c r="F173" s="17" t="n"/>
      <c r="G173" s="8">
        <f>IF(OR(A173="",C173=""),"",IF(D173="",IF(COUNTIFS(เฉลย!$A:$A,A173,เฉลย!$C:$C,C173)&gt;0,"Y","N"),IF(COUNTIFS(เฉลย!$A:$A,A173,เฉลย!$C:$C,C173,เฉลย!$D:$D,"&lt;="&amp;(N(E173)+2),เฉลย!$E:$E,"&gt;="&amp;(D173-2))&gt;0,"Y","N")))</f>
        <v/>
      </c>
    </row>
    <row r="174">
      <c r="A174" s="17" t="n"/>
      <c r="B174" s="8">
        <f>IF(A174="","",IFERROR(INDEX(แผนคลิป!$B:$B,MATCH(A174,แผนคลิป!$A:$A,0)),""))</f>
        <v/>
      </c>
      <c r="C174" s="17" t="n"/>
      <c r="D174" s="17" t="n"/>
      <c r="E174" s="17" t="n"/>
      <c r="F174" s="17" t="n"/>
      <c r="G174" s="8">
        <f>IF(OR(A174="",C174=""),"",IF(D174="",IF(COUNTIFS(เฉลย!$A:$A,A174,เฉลย!$C:$C,C174)&gt;0,"Y","N"),IF(COUNTIFS(เฉลย!$A:$A,A174,เฉลย!$C:$C,C174,เฉลย!$D:$D,"&lt;="&amp;(N(E174)+2),เฉลย!$E:$E,"&gt;="&amp;(D174-2))&gt;0,"Y","N")))</f>
        <v/>
      </c>
    </row>
    <row r="175">
      <c r="A175" s="17" t="n"/>
      <c r="B175" s="8">
        <f>IF(A175="","",IFERROR(INDEX(แผนคลิป!$B:$B,MATCH(A175,แผนคลิป!$A:$A,0)),""))</f>
        <v/>
      </c>
      <c r="C175" s="17" t="n"/>
      <c r="D175" s="17" t="n"/>
      <c r="E175" s="17" t="n"/>
      <c r="F175" s="17" t="n"/>
      <c r="G175" s="8">
        <f>IF(OR(A175="",C175=""),"",IF(D175="",IF(COUNTIFS(เฉลย!$A:$A,A175,เฉลย!$C:$C,C175)&gt;0,"Y","N"),IF(COUNTIFS(เฉลย!$A:$A,A175,เฉลย!$C:$C,C175,เฉลย!$D:$D,"&lt;="&amp;(N(E175)+2),เฉลย!$E:$E,"&gt;="&amp;(D175-2))&gt;0,"Y","N")))</f>
        <v/>
      </c>
    </row>
    <row r="176">
      <c r="A176" s="17" t="n"/>
      <c r="B176" s="8">
        <f>IF(A176="","",IFERROR(INDEX(แผนคลิป!$B:$B,MATCH(A176,แผนคลิป!$A:$A,0)),""))</f>
        <v/>
      </c>
      <c r="C176" s="17" t="n"/>
      <c r="D176" s="17" t="n"/>
      <c r="E176" s="17" t="n"/>
      <c r="F176" s="17" t="n"/>
      <c r="G176" s="8">
        <f>IF(OR(A176="",C176=""),"",IF(D176="",IF(COUNTIFS(เฉลย!$A:$A,A176,เฉลย!$C:$C,C176)&gt;0,"Y","N"),IF(COUNTIFS(เฉลย!$A:$A,A176,เฉลย!$C:$C,C176,เฉลย!$D:$D,"&lt;="&amp;(N(E176)+2),เฉลย!$E:$E,"&gt;="&amp;(D176-2))&gt;0,"Y","N")))</f>
        <v/>
      </c>
    </row>
    <row r="177">
      <c r="A177" s="17" t="n"/>
      <c r="B177" s="8">
        <f>IF(A177="","",IFERROR(INDEX(แผนคลิป!$B:$B,MATCH(A177,แผนคลิป!$A:$A,0)),""))</f>
        <v/>
      </c>
      <c r="C177" s="17" t="n"/>
      <c r="D177" s="17" t="n"/>
      <c r="E177" s="17" t="n"/>
      <c r="F177" s="17" t="n"/>
      <c r="G177" s="8">
        <f>IF(OR(A177="",C177=""),"",IF(D177="",IF(COUNTIFS(เฉลย!$A:$A,A177,เฉลย!$C:$C,C177)&gt;0,"Y","N"),IF(COUNTIFS(เฉลย!$A:$A,A177,เฉลย!$C:$C,C177,เฉลย!$D:$D,"&lt;="&amp;(N(E177)+2),เฉลย!$E:$E,"&gt;="&amp;(D177-2))&gt;0,"Y","N")))</f>
        <v/>
      </c>
    </row>
    <row r="178">
      <c r="A178" s="17" t="n"/>
      <c r="B178" s="8">
        <f>IF(A178="","",IFERROR(INDEX(แผนคลิป!$B:$B,MATCH(A178,แผนคลิป!$A:$A,0)),""))</f>
        <v/>
      </c>
      <c r="C178" s="17" t="n"/>
      <c r="D178" s="17" t="n"/>
      <c r="E178" s="17" t="n"/>
      <c r="F178" s="17" t="n"/>
      <c r="G178" s="8">
        <f>IF(OR(A178="",C178=""),"",IF(D178="",IF(COUNTIFS(เฉลย!$A:$A,A178,เฉลย!$C:$C,C178)&gt;0,"Y","N"),IF(COUNTIFS(เฉลย!$A:$A,A178,เฉลย!$C:$C,C178,เฉลย!$D:$D,"&lt;="&amp;(N(E178)+2),เฉลย!$E:$E,"&gt;="&amp;(D178-2))&gt;0,"Y","N")))</f>
        <v/>
      </c>
    </row>
    <row r="179">
      <c r="A179" s="17" t="n"/>
      <c r="B179" s="8">
        <f>IF(A179="","",IFERROR(INDEX(แผนคลิป!$B:$B,MATCH(A179,แผนคลิป!$A:$A,0)),""))</f>
        <v/>
      </c>
      <c r="C179" s="17" t="n"/>
      <c r="D179" s="17" t="n"/>
      <c r="E179" s="17" t="n"/>
      <c r="F179" s="17" t="n"/>
      <c r="G179" s="8">
        <f>IF(OR(A179="",C179=""),"",IF(D179="",IF(COUNTIFS(เฉลย!$A:$A,A179,เฉลย!$C:$C,C179)&gt;0,"Y","N"),IF(COUNTIFS(เฉลย!$A:$A,A179,เฉลย!$C:$C,C179,เฉลย!$D:$D,"&lt;="&amp;(N(E179)+2),เฉลย!$E:$E,"&gt;="&amp;(D179-2))&gt;0,"Y","N")))</f>
        <v/>
      </c>
    </row>
    <row r="180">
      <c r="A180" s="17" t="n"/>
      <c r="B180" s="8">
        <f>IF(A180="","",IFERROR(INDEX(แผนคลิป!$B:$B,MATCH(A180,แผนคลิป!$A:$A,0)),""))</f>
        <v/>
      </c>
      <c r="C180" s="17" t="n"/>
      <c r="D180" s="17" t="n"/>
      <c r="E180" s="17" t="n"/>
      <c r="F180" s="17" t="n"/>
      <c r="G180" s="8">
        <f>IF(OR(A180="",C180=""),"",IF(D180="",IF(COUNTIFS(เฉลย!$A:$A,A180,เฉลย!$C:$C,C180)&gt;0,"Y","N"),IF(COUNTIFS(เฉลย!$A:$A,A180,เฉลย!$C:$C,C180,เฉลย!$D:$D,"&lt;="&amp;(N(E180)+2),เฉลย!$E:$E,"&gt;="&amp;(D180-2))&gt;0,"Y","N")))</f>
        <v/>
      </c>
    </row>
    <row r="181">
      <c r="A181" s="17" t="n"/>
      <c r="B181" s="8">
        <f>IF(A181="","",IFERROR(INDEX(แผนคลิป!$B:$B,MATCH(A181,แผนคลิป!$A:$A,0)),""))</f>
        <v/>
      </c>
      <c r="C181" s="17" t="n"/>
      <c r="D181" s="17" t="n"/>
      <c r="E181" s="17" t="n"/>
      <c r="F181" s="17" t="n"/>
      <c r="G181" s="8">
        <f>IF(OR(A181="",C181=""),"",IF(D181="",IF(COUNTIFS(เฉลย!$A:$A,A181,เฉลย!$C:$C,C181)&gt;0,"Y","N"),IF(COUNTIFS(เฉลย!$A:$A,A181,เฉลย!$C:$C,C181,เฉลย!$D:$D,"&lt;="&amp;(N(E181)+2),เฉลย!$E:$E,"&gt;="&amp;(D181-2))&gt;0,"Y","N")))</f>
        <v/>
      </c>
    </row>
    <row r="182">
      <c r="A182" s="17" t="n"/>
      <c r="B182" s="8">
        <f>IF(A182="","",IFERROR(INDEX(แผนคลิป!$B:$B,MATCH(A182,แผนคลิป!$A:$A,0)),""))</f>
        <v/>
      </c>
      <c r="C182" s="17" t="n"/>
      <c r="D182" s="17" t="n"/>
      <c r="E182" s="17" t="n"/>
      <c r="F182" s="17" t="n"/>
      <c r="G182" s="8">
        <f>IF(OR(A182="",C182=""),"",IF(D182="",IF(COUNTIFS(เฉลย!$A:$A,A182,เฉลย!$C:$C,C182)&gt;0,"Y","N"),IF(COUNTIFS(เฉลย!$A:$A,A182,เฉลย!$C:$C,C182,เฉลย!$D:$D,"&lt;="&amp;(N(E182)+2),เฉลย!$E:$E,"&gt;="&amp;(D182-2))&gt;0,"Y","N")))</f>
        <v/>
      </c>
    </row>
    <row r="183">
      <c r="A183" s="17" t="n"/>
      <c r="B183" s="8">
        <f>IF(A183="","",IFERROR(INDEX(แผนคลิป!$B:$B,MATCH(A183,แผนคลิป!$A:$A,0)),""))</f>
        <v/>
      </c>
      <c r="C183" s="17" t="n"/>
      <c r="D183" s="17" t="n"/>
      <c r="E183" s="17" t="n"/>
      <c r="F183" s="17" t="n"/>
      <c r="G183" s="8">
        <f>IF(OR(A183="",C183=""),"",IF(D183="",IF(COUNTIFS(เฉลย!$A:$A,A183,เฉลย!$C:$C,C183)&gt;0,"Y","N"),IF(COUNTIFS(เฉลย!$A:$A,A183,เฉลย!$C:$C,C183,เฉลย!$D:$D,"&lt;="&amp;(N(E183)+2),เฉลย!$E:$E,"&gt;="&amp;(D183-2))&gt;0,"Y","N")))</f>
        <v/>
      </c>
    </row>
    <row r="184">
      <c r="A184" s="17" t="n"/>
      <c r="B184" s="8">
        <f>IF(A184="","",IFERROR(INDEX(แผนคลิป!$B:$B,MATCH(A184,แผนคลิป!$A:$A,0)),""))</f>
        <v/>
      </c>
      <c r="C184" s="17" t="n"/>
      <c r="D184" s="17" t="n"/>
      <c r="E184" s="17" t="n"/>
      <c r="F184" s="17" t="n"/>
      <c r="G184" s="8">
        <f>IF(OR(A184="",C184=""),"",IF(D184="",IF(COUNTIFS(เฉลย!$A:$A,A184,เฉลย!$C:$C,C184)&gt;0,"Y","N"),IF(COUNTIFS(เฉลย!$A:$A,A184,เฉลย!$C:$C,C184,เฉลย!$D:$D,"&lt;="&amp;(N(E184)+2),เฉลย!$E:$E,"&gt;="&amp;(D184-2))&gt;0,"Y","N")))</f>
        <v/>
      </c>
    </row>
    <row r="185">
      <c r="A185" s="17" t="n"/>
      <c r="B185" s="8">
        <f>IF(A185="","",IFERROR(INDEX(แผนคลิป!$B:$B,MATCH(A185,แผนคลิป!$A:$A,0)),""))</f>
        <v/>
      </c>
      <c r="C185" s="17" t="n"/>
      <c r="D185" s="17" t="n"/>
      <c r="E185" s="17" t="n"/>
      <c r="F185" s="17" t="n"/>
      <c r="G185" s="8">
        <f>IF(OR(A185="",C185=""),"",IF(D185="",IF(COUNTIFS(เฉลย!$A:$A,A185,เฉลย!$C:$C,C185)&gt;0,"Y","N"),IF(COUNTIFS(เฉลย!$A:$A,A185,เฉลย!$C:$C,C185,เฉลย!$D:$D,"&lt;="&amp;(N(E185)+2),เฉลย!$E:$E,"&gt;="&amp;(D185-2))&gt;0,"Y","N")))</f>
        <v/>
      </c>
    </row>
    <row r="186">
      <c r="A186" s="17" t="n"/>
      <c r="B186" s="8">
        <f>IF(A186="","",IFERROR(INDEX(แผนคลิป!$B:$B,MATCH(A186,แผนคลิป!$A:$A,0)),""))</f>
        <v/>
      </c>
      <c r="C186" s="17" t="n"/>
      <c r="D186" s="17" t="n"/>
      <c r="E186" s="17" t="n"/>
      <c r="F186" s="17" t="n"/>
      <c r="G186" s="8">
        <f>IF(OR(A186="",C186=""),"",IF(D186="",IF(COUNTIFS(เฉลย!$A:$A,A186,เฉลย!$C:$C,C186)&gt;0,"Y","N"),IF(COUNTIFS(เฉลย!$A:$A,A186,เฉลย!$C:$C,C186,เฉลย!$D:$D,"&lt;="&amp;(N(E186)+2),เฉลย!$E:$E,"&gt;="&amp;(D186-2))&gt;0,"Y","N")))</f>
        <v/>
      </c>
    </row>
    <row r="187">
      <c r="A187" s="17" t="n"/>
      <c r="B187" s="8">
        <f>IF(A187="","",IFERROR(INDEX(แผนคลิป!$B:$B,MATCH(A187,แผนคลิป!$A:$A,0)),""))</f>
        <v/>
      </c>
      <c r="C187" s="17" t="n"/>
      <c r="D187" s="17" t="n"/>
      <c r="E187" s="17" t="n"/>
      <c r="F187" s="17" t="n"/>
      <c r="G187" s="8">
        <f>IF(OR(A187="",C187=""),"",IF(D187="",IF(COUNTIFS(เฉลย!$A:$A,A187,เฉลย!$C:$C,C187)&gt;0,"Y","N"),IF(COUNTIFS(เฉลย!$A:$A,A187,เฉลย!$C:$C,C187,เฉลย!$D:$D,"&lt;="&amp;(N(E187)+2),เฉลย!$E:$E,"&gt;="&amp;(D187-2))&gt;0,"Y","N")))</f>
        <v/>
      </c>
    </row>
    <row r="188">
      <c r="A188" s="17" t="n"/>
      <c r="B188" s="8">
        <f>IF(A188="","",IFERROR(INDEX(แผนคลิป!$B:$B,MATCH(A188,แผนคลิป!$A:$A,0)),""))</f>
        <v/>
      </c>
      <c r="C188" s="17" t="n"/>
      <c r="D188" s="17" t="n"/>
      <c r="E188" s="17" t="n"/>
      <c r="F188" s="17" t="n"/>
      <c r="G188" s="8">
        <f>IF(OR(A188="",C188=""),"",IF(D188="",IF(COUNTIFS(เฉลย!$A:$A,A188,เฉลย!$C:$C,C188)&gt;0,"Y","N"),IF(COUNTIFS(เฉลย!$A:$A,A188,เฉลย!$C:$C,C188,เฉลย!$D:$D,"&lt;="&amp;(N(E188)+2),เฉลย!$E:$E,"&gt;="&amp;(D188-2))&gt;0,"Y","N")))</f>
        <v/>
      </c>
    </row>
    <row r="189">
      <c r="A189" s="17" t="n"/>
      <c r="B189" s="8">
        <f>IF(A189="","",IFERROR(INDEX(แผนคลิป!$B:$B,MATCH(A189,แผนคลิป!$A:$A,0)),""))</f>
        <v/>
      </c>
      <c r="C189" s="17" t="n"/>
      <c r="D189" s="17" t="n"/>
      <c r="E189" s="17" t="n"/>
      <c r="F189" s="17" t="n"/>
      <c r="G189" s="8">
        <f>IF(OR(A189="",C189=""),"",IF(D189="",IF(COUNTIFS(เฉลย!$A:$A,A189,เฉลย!$C:$C,C189)&gt;0,"Y","N"),IF(COUNTIFS(เฉลย!$A:$A,A189,เฉลย!$C:$C,C189,เฉลย!$D:$D,"&lt;="&amp;(N(E189)+2),เฉลย!$E:$E,"&gt;="&amp;(D189-2))&gt;0,"Y","N")))</f>
        <v/>
      </c>
    </row>
    <row r="190">
      <c r="A190" s="17" t="n"/>
      <c r="B190" s="8">
        <f>IF(A190="","",IFERROR(INDEX(แผนคลิป!$B:$B,MATCH(A190,แผนคลิป!$A:$A,0)),""))</f>
        <v/>
      </c>
      <c r="C190" s="17" t="n"/>
      <c r="D190" s="17" t="n"/>
      <c r="E190" s="17" t="n"/>
      <c r="F190" s="17" t="n"/>
      <c r="G190" s="8">
        <f>IF(OR(A190="",C190=""),"",IF(D190="",IF(COUNTIFS(เฉลย!$A:$A,A190,เฉลย!$C:$C,C190)&gt;0,"Y","N"),IF(COUNTIFS(เฉลย!$A:$A,A190,เฉลย!$C:$C,C190,เฉลย!$D:$D,"&lt;="&amp;(N(E190)+2),เฉลย!$E:$E,"&gt;="&amp;(D190-2))&gt;0,"Y","N")))</f>
        <v/>
      </c>
    </row>
    <row r="191">
      <c r="A191" s="17" t="n"/>
      <c r="B191" s="8">
        <f>IF(A191="","",IFERROR(INDEX(แผนคลิป!$B:$B,MATCH(A191,แผนคลิป!$A:$A,0)),""))</f>
        <v/>
      </c>
      <c r="C191" s="17" t="n"/>
      <c r="D191" s="17" t="n"/>
      <c r="E191" s="17" t="n"/>
      <c r="F191" s="17" t="n"/>
      <c r="G191" s="8">
        <f>IF(OR(A191="",C191=""),"",IF(D191="",IF(COUNTIFS(เฉลย!$A:$A,A191,เฉลย!$C:$C,C191)&gt;0,"Y","N"),IF(COUNTIFS(เฉลย!$A:$A,A191,เฉลย!$C:$C,C191,เฉลย!$D:$D,"&lt;="&amp;(N(E191)+2),เฉลย!$E:$E,"&gt;="&amp;(D191-2))&gt;0,"Y","N")))</f>
        <v/>
      </c>
    </row>
    <row r="192">
      <c r="A192" s="17" t="n"/>
      <c r="B192" s="8">
        <f>IF(A192="","",IFERROR(INDEX(แผนคลิป!$B:$B,MATCH(A192,แผนคลิป!$A:$A,0)),""))</f>
        <v/>
      </c>
      <c r="C192" s="17" t="n"/>
      <c r="D192" s="17" t="n"/>
      <c r="E192" s="17" t="n"/>
      <c r="F192" s="17" t="n"/>
      <c r="G192" s="8">
        <f>IF(OR(A192="",C192=""),"",IF(D192="",IF(COUNTIFS(เฉลย!$A:$A,A192,เฉลย!$C:$C,C192)&gt;0,"Y","N"),IF(COUNTIFS(เฉลย!$A:$A,A192,เฉลย!$C:$C,C192,เฉลย!$D:$D,"&lt;="&amp;(N(E192)+2),เฉลย!$E:$E,"&gt;="&amp;(D192-2))&gt;0,"Y","N")))</f>
        <v/>
      </c>
    </row>
    <row r="193">
      <c r="A193" s="17" t="n"/>
      <c r="B193" s="8">
        <f>IF(A193="","",IFERROR(INDEX(แผนคลิป!$B:$B,MATCH(A193,แผนคลิป!$A:$A,0)),""))</f>
        <v/>
      </c>
      <c r="C193" s="17" t="n"/>
      <c r="D193" s="17" t="n"/>
      <c r="E193" s="17" t="n"/>
      <c r="F193" s="17" t="n"/>
      <c r="G193" s="8">
        <f>IF(OR(A193="",C193=""),"",IF(D193="",IF(COUNTIFS(เฉลย!$A:$A,A193,เฉลย!$C:$C,C193)&gt;0,"Y","N"),IF(COUNTIFS(เฉลย!$A:$A,A193,เฉลย!$C:$C,C193,เฉลย!$D:$D,"&lt;="&amp;(N(E193)+2),เฉลย!$E:$E,"&gt;="&amp;(D193-2))&gt;0,"Y","N")))</f>
        <v/>
      </c>
    </row>
    <row r="194">
      <c r="A194" s="17" t="n"/>
      <c r="B194" s="8">
        <f>IF(A194="","",IFERROR(INDEX(แผนคลิป!$B:$B,MATCH(A194,แผนคลิป!$A:$A,0)),""))</f>
        <v/>
      </c>
      <c r="C194" s="17" t="n"/>
      <c r="D194" s="17" t="n"/>
      <c r="E194" s="17" t="n"/>
      <c r="F194" s="17" t="n"/>
      <c r="G194" s="8">
        <f>IF(OR(A194="",C194=""),"",IF(D194="",IF(COUNTIFS(เฉลย!$A:$A,A194,เฉลย!$C:$C,C194)&gt;0,"Y","N"),IF(COUNTIFS(เฉลย!$A:$A,A194,เฉลย!$C:$C,C194,เฉลย!$D:$D,"&lt;="&amp;(N(E194)+2),เฉลย!$E:$E,"&gt;="&amp;(D194-2))&gt;0,"Y","N")))</f>
        <v/>
      </c>
    </row>
    <row r="195">
      <c r="A195" s="17" t="n"/>
      <c r="B195" s="8">
        <f>IF(A195="","",IFERROR(INDEX(แผนคลิป!$B:$B,MATCH(A195,แผนคลิป!$A:$A,0)),""))</f>
        <v/>
      </c>
      <c r="C195" s="17" t="n"/>
      <c r="D195" s="17" t="n"/>
      <c r="E195" s="17" t="n"/>
      <c r="F195" s="17" t="n"/>
      <c r="G195" s="8">
        <f>IF(OR(A195="",C195=""),"",IF(D195="",IF(COUNTIFS(เฉลย!$A:$A,A195,เฉลย!$C:$C,C195)&gt;0,"Y","N"),IF(COUNTIFS(เฉลย!$A:$A,A195,เฉลย!$C:$C,C195,เฉลย!$D:$D,"&lt;="&amp;(N(E195)+2),เฉลย!$E:$E,"&gt;="&amp;(D195-2))&gt;0,"Y","N")))</f>
        <v/>
      </c>
    </row>
    <row r="196">
      <c r="A196" s="17" t="n"/>
      <c r="B196" s="8">
        <f>IF(A196="","",IFERROR(INDEX(แผนคลิป!$B:$B,MATCH(A196,แผนคลิป!$A:$A,0)),""))</f>
        <v/>
      </c>
      <c r="C196" s="17" t="n"/>
      <c r="D196" s="17" t="n"/>
      <c r="E196" s="17" t="n"/>
      <c r="F196" s="17" t="n"/>
      <c r="G196" s="8">
        <f>IF(OR(A196="",C196=""),"",IF(D196="",IF(COUNTIFS(เฉลย!$A:$A,A196,เฉลย!$C:$C,C196)&gt;0,"Y","N"),IF(COUNTIFS(เฉลย!$A:$A,A196,เฉลย!$C:$C,C196,เฉลย!$D:$D,"&lt;="&amp;(N(E196)+2),เฉลย!$E:$E,"&gt;="&amp;(D196-2))&gt;0,"Y","N")))</f>
        <v/>
      </c>
    </row>
    <row r="197">
      <c r="A197" s="17" t="n"/>
      <c r="B197" s="8">
        <f>IF(A197="","",IFERROR(INDEX(แผนคลิป!$B:$B,MATCH(A197,แผนคลิป!$A:$A,0)),""))</f>
        <v/>
      </c>
      <c r="C197" s="17" t="n"/>
      <c r="D197" s="17" t="n"/>
      <c r="E197" s="17" t="n"/>
      <c r="F197" s="17" t="n"/>
      <c r="G197" s="8">
        <f>IF(OR(A197="",C197=""),"",IF(D197="",IF(COUNTIFS(เฉลย!$A:$A,A197,เฉลย!$C:$C,C197)&gt;0,"Y","N"),IF(COUNTIFS(เฉลย!$A:$A,A197,เฉลย!$C:$C,C197,เฉลย!$D:$D,"&lt;="&amp;(N(E197)+2),เฉลย!$E:$E,"&gt;="&amp;(D197-2))&gt;0,"Y","N")))</f>
        <v/>
      </c>
    </row>
    <row r="198">
      <c r="A198" s="17" t="n"/>
      <c r="B198" s="8">
        <f>IF(A198="","",IFERROR(INDEX(แผนคลิป!$B:$B,MATCH(A198,แผนคลิป!$A:$A,0)),""))</f>
        <v/>
      </c>
      <c r="C198" s="17" t="n"/>
      <c r="D198" s="17" t="n"/>
      <c r="E198" s="17" t="n"/>
      <c r="F198" s="17" t="n"/>
      <c r="G198" s="8">
        <f>IF(OR(A198="",C198=""),"",IF(D198="",IF(COUNTIFS(เฉลย!$A:$A,A198,เฉลย!$C:$C,C198)&gt;0,"Y","N"),IF(COUNTIFS(เฉลย!$A:$A,A198,เฉลย!$C:$C,C198,เฉลย!$D:$D,"&lt;="&amp;(N(E198)+2),เฉลย!$E:$E,"&gt;="&amp;(D198-2))&gt;0,"Y","N")))</f>
        <v/>
      </c>
    </row>
    <row r="199">
      <c r="A199" s="17" t="n"/>
      <c r="B199" s="8">
        <f>IF(A199="","",IFERROR(INDEX(แผนคลิป!$B:$B,MATCH(A199,แผนคลิป!$A:$A,0)),""))</f>
        <v/>
      </c>
      <c r="C199" s="17" t="n"/>
      <c r="D199" s="17" t="n"/>
      <c r="E199" s="17" t="n"/>
      <c r="F199" s="17" t="n"/>
      <c r="G199" s="8">
        <f>IF(OR(A199="",C199=""),"",IF(D199="",IF(COUNTIFS(เฉลย!$A:$A,A199,เฉลย!$C:$C,C199)&gt;0,"Y","N"),IF(COUNTIFS(เฉลย!$A:$A,A199,เฉลย!$C:$C,C199,เฉลย!$D:$D,"&lt;="&amp;(N(E199)+2),เฉลย!$E:$E,"&gt;="&amp;(D199-2))&gt;0,"Y","N")))</f>
        <v/>
      </c>
    </row>
    <row r="200">
      <c r="A200" s="17" t="n"/>
      <c r="B200" s="8">
        <f>IF(A200="","",IFERROR(INDEX(แผนคลิป!$B:$B,MATCH(A200,แผนคลิป!$A:$A,0)),""))</f>
        <v/>
      </c>
      <c r="C200" s="17" t="n"/>
      <c r="D200" s="17" t="n"/>
      <c r="E200" s="17" t="n"/>
      <c r="F200" s="17" t="n"/>
      <c r="G200" s="8">
        <f>IF(OR(A200="",C200=""),"",IF(D200="",IF(COUNTIFS(เฉลย!$A:$A,A200,เฉลย!$C:$C,C200)&gt;0,"Y","N"),IF(COUNTIFS(เฉลย!$A:$A,A200,เฉลย!$C:$C,C200,เฉลย!$D:$D,"&lt;="&amp;(N(E200)+2),เฉลย!$E:$E,"&gt;="&amp;(D200-2))&gt;0,"Y","N")))</f>
        <v/>
      </c>
    </row>
    <row r="201">
      <c r="A201" s="17" t="n"/>
      <c r="B201" s="8">
        <f>IF(A201="","",IFERROR(INDEX(แผนคลิป!$B:$B,MATCH(A201,แผนคลิป!$A:$A,0)),""))</f>
        <v/>
      </c>
      <c r="C201" s="17" t="n"/>
      <c r="D201" s="17" t="n"/>
      <c r="E201" s="17" t="n"/>
      <c r="F201" s="17" t="n"/>
      <c r="G201" s="8">
        <f>IF(OR(A201="",C201=""),"",IF(D201="",IF(COUNTIFS(เฉลย!$A:$A,A201,เฉลย!$C:$C,C201)&gt;0,"Y","N"),IF(COUNTIFS(เฉลย!$A:$A,A201,เฉลย!$C:$C,C201,เฉลย!$D:$D,"&lt;="&amp;(N(E201)+2),เฉลย!$E:$E,"&gt;="&amp;(D201-2))&gt;0,"Y","N")))</f>
        <v/>
      </c>
    </row>
    <row r="202">
      <c r="A202" s="17" t="n"/>
      <c r="B202" s="8">
        <f>IF(A202="","",IFERROR(INDEX(แผนคลิป!$B:$B,MATCH(A202,แผนคลิป!$A:$A,0)),""))</f>
        <v/>
      </c>
      <c r="C202" s="17" t="n"/>
      <c r="D202" s="17" t="n"/>
      <c r="E202" s="17" t="n"/>
      <c r="F202" s="17" t="n"/>
      <c r="G202" s="8">
        <f>IF(OR(A202="",C202=""),"",IF(D202="",IF(COUNTIFS(เฉลย!$A:$A,A202,เฉลย!$C:$C,C202)&gt;0,"Y","N"),IF(COUNTIFS(เฉลย!$A:$A,A202,เฉลย!$C:$C,C202,เฉลย!$D:$D,"&lt;="&amp;(N(E202)+2),เฉลย!$E:$E,"&gt;="&amp;(D202-2))&gt;0,"Y","N")))</f>
        <v/>
      </c>
    </row>
    <row r="203">
      <c r="A203" s="17" t="n"/>
      <c r="B203" s="8">
        <f>IF(A203="","",IFERROR(INDEX(แผนคลิป!$B:$B,MATCH(A203,แผนคลิป!$A:$A,0)),""))</f>
        <v/>
      </c>
      <c r="C203" s="17" t="n"/>
      <c r="D203" s="17" t="n"/>
      <c r="E203" s="17" t="n"/>
      <c r="F203" s="17" t="n"/>
      <c r="G203" s="8">
        <f>IF(OR(A203="",C203=""),"",IF(D203="",IF(COUNTIFS(เฉลย!$A:$A,A203,เฉลย!$C:$C,C203)&gt;0,"Y","N"),IF(COUNTIFS(เฉลย!$A:$A,A203,เฉลย!$C:$C,C203,เฉลย!$D:$D,"&lt;="&amp;(N(E203)+2),เฉลย!$E:$E,"&gt;="&amp;(D203-2))&gt;0,"Y","N")))</f>
        <v/>
      </c>
    </row>
  </sheetData>
  <dataValidations count="1">
    <dataValidation sqref="C3:C203" showDropDown="0" showInputMessage="0" showErrorMessage="0" allowBlank="1" type="list">
      <formula1>=รายการ!$A$2:$A$16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7" customWidth="1" min="4" max="4"/>
    <col width="26" customWidth="1" min="5" max="5"/>
    <col width="9" customWidth="1" min="6" max="6"/>
    <col width="9" customWidth="1" min="7" max="7"/>
    <col width="13" customWidth="1" min="8" max="8"/>
    <col width="34" customWidth="1" min="9" max="9"/>
  </cols>
  <sheetData>
    <row r="1">
      <c r="A1" s="15" t="inlineStr">
        <is>
          <t>ระบบเตือน: ทุกข้อในส่วน 'เริ่มแก้ตรงนี้ก่อน' ของรายงาน (คลิปละ 2 รายงาน)</t>
        </is>
      </c>
    </row>
    <row r="2" ht="34" customHeight="1">
      <c r="A2" s="16" t="inlineStr">
        <is>
          <t>คลิป</t>
        </is>
      </c>
      <c r="B2" s="16" t="inlineStr">
        <is>
          <t>ภาษา (อัตโนมัติ)</t>
        </is>
      </c>
      <c r="C2" s="16" t="inlineStr">
        <is>
          <t>โค้ช</t>
        </is>
      </c>
      <c r="D2" s="16" t="inlineStr">
        <is>
          <t>ข้อที่</t>
        </is>
      </c>
      <c r="E2" s="16" t="inlineStr">
        <is>
          <t>ประเภทปัญหาที่ระบบบอก</t>
        </is>
      </c>
      <c r="F2" s="16" t="inlineStr">
        <is>
          <t>เริ่ม (วิ)</t>
        </is>
      </c>
      <c r="G2" s="16" t="inlineStr">
        <is>
          <t>จบ (วิ)</t>
        </is>
      </c>
      <c r="H2" s="16" t="inlineStr">
        <is>
          <t>ตรงกับเฉลย (Y/N)</t>
        </is>
      </c>
      <c r="I2" s="16" t="inlineStr">
        <is>
          <t>หมายเหตุ</t>
        </is>
      </c>
    </row>
    <row r="3">
      <c r="A3" s="19" t="inlineStr">
        <is>
          <t>ตัวอย่าง</t>
        </is>
      </c>
      <c r="B3" s="19">
        <f>IF(A3="","",IFERROR(INDEX(แผนคลิป!$B:$B,MATCH(A3,แผนคลิป!$A:$A,0)),""))</f>
        <v/>
      </c>
      <c r="C3" s="19" t="inlineStr">
        <is>
          <t>Gemini</t>
        </is>
      </c>
      <c r="D3" s="19" t="n">
        <v>1</v>
      </c>
      <c r="E3" s="19" t="inlineStr">
        <is>
          <t>ก้มหน้า</t>
        </is>
      </c>
      <c r="F3" s="19" t="n">
        <v>14</v>
      </c>
      <c r="G3" s="19" t="n">
        <v>26</v>
      </c>
      <c r="H3" s="19" t="inlineStr">
        <is>
          <t>Y</t>
        </is>
      </c>
      <c r="I3" s="19" t="inlineStr">
        <is>
          <t>ตรงกับเฉลยแถวตัวอย่าง</t>
        </is>
      </c>
    </row>
    <row r="4">
      <c r="A4" s="17" t="n"/>
      <c r="B4" s="8">
        <f>IF(A4="","",IFERROR(INDEX(แผนคลิป!$B:$B,MATCH(A4,แผนคลิป!$A:$A,0)),""))</f>
        <v/>
      </c>
      <c r="C4" s="17" t="n"/>
      <c r="D4" s="17" t="n"/>
      <c r="E4" s="17" t="n"/>
      <c r="F4" s="17" t="n"/>
      <c r="G4" s="17" t="n"/>
      <c r="H4" s="17" t="n"/>
      <c r="I4" s="17" t="n"/>
    </row>
    <row r="5">
      <c r="A5" s="17" t="n"/>
      <c r="B5" s="8">
        <f>IF(A5="","",IFERROR(INDEX(แผนคลิป!$B:$B,MATCH(A5,แผนคลิป!$A:$A,0)),""))</f>
        <v/>
      </c>
      <c r="C5" s="17" t="n"/>
      <c r="D5" s="17" t="n"/>
      <c r="E5" s="17" t="n"/>
      <c r="F5" s="17" t="n"/>
      <c r="G5" s="17" t="n"/>
      <c r="H5" s="17" t="n"/>
      <c r="I5" s="17" t="n"/>
    </row>
    <row r="6">
      <c r="A6" s="17" t="n"/>
      <c r="B6" s="8">
        <f>IF(A6="","",IFERROR(INDEX(แผนคลิป!$B:$B,MATCH(A6,แผนคลิป!$A:$A,0)),""))</f>
        <v/>
      </c>
      <c r="C6" s="17" t="n"/>
      <c r="D6" s="17" t="n"/>
      <c r="E6" s="17" t="n"/>
      <c r="F6" s="17" t="n"/>
      <c r="G6" s="17" t="n"/>
      <c r="H6" s="17" t="n"/>
      <c r="I6" s="17" t="n"/>
    </row>
    <row r="7">
      <c r="A7" s="17" t="n"/>
      <c r="B7" s="8">
        <f>IF(A7="","",IFERROR(INDEX(แผนคลิป!$B:$B,MATCH(A7,แผนคลิป!$A:$A,0)),""))</f>
        <v/>
      </c>
      <c r="C7" s="17" t="n"/>
      <c r="D7" s="17" t="n"/>
      <c r="E7" s="17" t="n"/>
      <c r="F7" s="17" t="n"/>
      <c r="G7" s="17" t="n"/>
      <c r="H7" s="17" t="n"/>
      <c r="I7" s="17" t="n"/>
    </row>
    <row r="8">
      <c r="A8" s="17" t="n"/>
      <c r="B8" s="8">
        <f>IF(A8="","",IFERROR(INDEX(แผนคลิป!$B:$B,MATCH(A8,แผนคลิป!$A:$A,0)),""))</f>
        <v/>
      </c>
      <c r="C8" s="17" t="n"/>
      <c r="D8" s="17" t="n"/>
      <c r="E8" s="17" t="n"/>
      <c r="F8" s="17" t="n"/>
      <c r="G8" s="17" t="n"/>
      <c r="H8" s="17" t="n"/>
      <c r="I8" s="17" t="n"/>
    </row>
    <row r="9">
      <c r="A9" s="17" t="n"/>
      <c r="B9" s="8">
        <f>IF(A9="","",IFERROR(INDEX(แผนคลิป!$B:$B,MATCH(A9,แผนคลิป!$A:$A,0)),""))</f>
        <v/>
      </c>
      <c r="C9" s="17" t="n"/>
      <c r="D9" s="17" t="n"/>
      <c r="E9" s="17" t="n"/>
      <c r="F9" s="17" t="n"/>
      <c r="G9" s="17" t="n"/>
      <c r="H9" s="17" t="n"/>
      <c r="I9" s="17" t="n"/>
    </row>
    <row r="10">
      <c r="A10" s="17" t="n"/>
      <c r="B10" s="8">
        <f>IF(A10="","",IFERROR(INDEX(แผนคลิป!$B:$B,MATCH(A10,แผนคลิป!$A:$A,0)),""))</f>
        <v/>
      </c>
      <c r="C10" s="17" t="n"/>
      <c r="D10" s="17" t="n"/>
      <c r="E10" s="17" t="n"/>
      <c r="F10" s="17" t="n"/>
      <c r="G10" s="17" t="n"/>
      <c r="H10" s="17" t="n"/>
      <c r="I10" s="17" t="n"/>
    </row>
    <row r="11">
      <c r="A11" s="17" t="n"/>
      <c r="B11" s="8">
        <f>IF(A11="","",IFERROR(INDEX(แผนคลิป!$B:$B,MATCH(A11,แผนคลิป!$A:$A,0)),""))</f>
        <v/>
      </c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8">
        <f>IF(A12="","",IFERROR(INDEX(แผนคลิป!$B:$B,MATCH(A12,แผนคลิป!$A:$A,0)),""))</f>
        <v/>
      </c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8">
        <f>IF(A13="","",IFERROR(INDEX(แผนคลิป!$B:$B,MATCH(A13,แผนคลิป!$A:$A,0)),""))</f>
        <v/>
      </c>
      <c r="C13" s="17" t="n"/>
      <c r="D13" s="17" t="n"/>
      <c r="E13" s="17" t="n"/>
      <c r="F13" s="17" t="n"/>
      <c r="G13" s="17" t="n"/>
      <c r="H13" s="17" t="n"/>
      <c r="I13" s="17" t="n"/>
    </row>
    <row r="14">
      <c r="A14" s="17" t="n"/>
      <c r="B14" s="8">
        <f>IF(A14="","",IFERROR(INDEX(แผนคลิป!$B:$B,MATCH(A14,แผนคลิป!$A:$A,0)),""))</f>
        <v/>
      </c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8">
        <f>IF(A15="","",IFERROR(INDEX(แผนคลิป!$B:$B,MATCH(A15,แผนคลิป!$A:$A,0)),""))</f>
        <v/>
      </c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8">
        <f>IF(A16="","",IFERROR(INDEX(แผนคลิป!$B:$B,MATCH(A16,แผนคลิป!$A:$A,0)),""))</f>
        <v/>
      </c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8">
        <f>IF(A17="","",IFERROR(INDEX(แผนคลิป!$B:$B,MATCH(A17,แผนคลิป!$A:$A,0)),""))</f>
        <v/>
      </c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8">
        <f>IF(A18="","",IFERROR(INDEX(แผนคลิป!$B:$B,MATCH(A18,แผนคลิป!$A:$A,0)),""))</f>
        <v/>
      </c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8">
        <f>IF(A19="","",IFERROR(INDEX(แผนคลิป!$B:$B,MATCH(A19,แผนคลิป!$A:$A,0)),""))</f>
        <v/>
      </c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8">
        <f>IF(A20="","",IFERROR(INDEX(แผนคลิป!$B:$B,MATCH(A20,แผนคลิป!$A:$A,0)),""))</f>
        <v/>
      </c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8">
        <f>IF(A21="","",IFERROR(INDEX(แผนคลิป!$B:$B,MATCH(A21,แผนคลิป!$A:$A,0)),""))</f>
        <v/>
      </c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8">
        <f>IF(A22="","",IFERROR(INDEX(แผนคลิป!$B:$B,MATCH(A22,แผนคลิป!$A:$A,0)),""))</f>
        <v/>
      </c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8">
        <f>IF(A23="","",IFERROR(INDEX(แผนคลิป!$B:$B,MATCH(A23,แผนคลิป!$A:$A,0)),""))</f>
        <v/>
      </c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8">
        <f>IF(A24="","",IFERROR(INDEX(แผนคลิป!$B:$B,MATCH(A24,แผนคลิป!$A:$A,0)),""))</f>
        <v/>
      </c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8">
        <f>IF(A25="","",IFERROR(INDEX(แผนคลิป!$B:$B,MATCH(A25,แผนคลิป!$A:$A,0)),""))</f>
        <v/>
      </c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8">
        <f>IF(A26="","",IFERROR(INDEX(แผนคลิป!$B:$B,MATCH(A26,แผนคลิป!$A:$A,0)),""))</f>
        <v/>
      </c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8">
        <f>IF(A27="","",IFERROR(INDEX(แผนคลิป!$B:$B,MATCH(A27,แผนคลิป!$A:$A,0)),""))</f>
        <v/>
      </c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8">
        <f>IF(A28="","",IFERROR(INDEX(แผนคลิป!$B:$B,MATCH(A28,แผนคลิป!$A:$A,0)),""))</f>
        <v/>
      </c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8">
        <f>IF(A29="","",IFERROR(INDEX(แผนคลิป!$B:$B,MATCH(A29,แผนคลิป!$A:$A,0)),""))</f>
        <v/>
      </c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8">
        <f>IF(A30="","",IFERROR(INDEX(แผนคลิป!$B:$B,MATCH(A30,แผนคลิป!$A:$A,0)),""))</f>
        <v/>
      </c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n"/>
      <c r="B31" s="8">
        <f>IF(A31="","",IFERROR(INDEX(แผนคลิป!$B:$B,MATCH(A31,แผนคลิป!$A:$A,0)),""))</f>
        <v/>
      </c>
      <c r="C31" s="17" t="n"/>
      <c r="D31" s="17" t="n"/>
      <c r="E31" s="17" t="n"/>
      <c r="F31" s="17" t="n"/>
      <c r="G31" s="17" t="n"/>
      <c r="H31" s="17" t="n"/>
      <c r="I31" s="17" t="n"/>
    </row>
    <row r="32">
      <c r="A32" s="17" t="n"/>
      <c r="B32" s="8">
        <f>IF(A32="","",IFERROR(INDEX(แผนคลิป!$B:$B,MATCH(A32,แผนคลิป!$A:$A,0)),""))</f>
        <v/>
      </c>
      <c r="C32" s="17" t="n"/>
      <c r="D32" s="17" t="n"/>
      <c r="E32" s="17" t="n"/>
      <c r="F32" s="17" t="n"/>
      <c r="G32" s="17" t="n"/>
      <c r="H32" s="17" t="n"/>
      <c r="I32" s="17" t="n"/>
    </row>
    <row r="33">
      <c r="A33" s="17" t="n"/>
      <c r="B33" s="8">
        <f>IF(A33="","",IFERROR(INDEX(แผนคลิป!$B:$B,MATCH(A33,แผนคลิป!$A:$A,0)),""))</f>
        <v/>
      </c>
      <c r="C33" s="17" t="n"/>
      <c r="D33" s="17" t="n"/>
      <c r="E33" s="17" t="n"/>
      <c r="F33" s="17" t="n"/>
      <c r="G33" s="17" t="n"/>
      <c r="H33" s="17" t="n"/>
      <c r="I33" s="17" t="n"/>
    </row>
    <row r="34">
      <c r="A34" s="17" t="n"/>
      <c r="B34" s="8">
        <f>IF(A34="","",IFERROR(INDEX(แผนคลิป!$B:$B,MATCH(A34,แผนคลิป!$A:$A,0)),""))</f>
        <v/>
      </c>
      <c r="C34" s="17" t="n"/>
      <c r="D34" s="17" t="n"/>
      <c r="E34" s="17" t="n"/>
      <c r="F34" s="17" t="n"/>
      <c r="G34" s="17" t="n"/>
      <c r="H34" s="17" t="n"/>
      <c r="I34" s="17" t="n"/>
    </row>
    <row r="35">
      <c r="A35" s="17" t="n"/>
      <c r="B35" s="8">
        <f>IF(A35="","",IFERROR(INDEX(แผนคลิป!$B:$B,MATCH(A35,แผนคลิป!$A:$A,0)),""))</f>
        <v/>
      </c>
      <c r="C35" s="17" t="n"/>
      <c r="D35" s="17" t="n"/>
      <c r="E35" s="17" t="n"/>
      <c r="F35" s="17" t="n"/>
      <c r="G35" s="17" t="n"/>
      <c r="H35" s="17" t="n"/>
      <c r="I35" s="17" t="n"/>
    </row>
    <row r="36">
      <c r="A36" s="17" t="n"/>
      <c r="B36" s="8">
        <f>IF(A36="","",IFERROR(INDEX(แผนคลิป!$B:$B,MATCH(A36,แผนคลิป!$A:$A,0)),""))</f>
        <v/>
      </c>
      <c r="C36" s="17" t="n"/>
      <c r="D36" s="17" t="n"/>
      <c r="E36" s="17" t="n"/>
      <c r="F36" s="17" t="n"/>
      <c r="G36" s="17" t="n"/>
      <c r="H36" s="17" t="n"/>
      <c r="I36" s="17" t="n"/>
    </row>
    <row r="37">
      <c r="A37" s="17" t="n"/>
      <c r="B37" s="8">
        <f>IF(A37="","",IFERROR(INDEX(แผนคลิป!$B:$B,MATCH(A37,แผนคลิป!$A:$A,0)),""))</f>
        <v/>
      </c>
      <c r="C37" s="17" t="n"/>
      <c r="D37" s="17" t="n"/>
      <c r="E37" s="17" t="n"/>
      <c r="F37" s="17" t="n"/>
      <c r="G37" s="17" t="n"/>
      <c r="H37" s="17" t="n"/>
      <c r="I37" s="17" t="n"/>
    </row>
    <row r="38">
      <c r="A38" s="17" t="n"/>
      <c r="B38" s="8">
        <f>IF(A38="","",IFERROR(INDEX(แผนคลิป!$B:$B,MATCH(A38,แผนคลิป!$A:$A,0)),""))</f>
        <v/>
      </c>
      <c r="C38" s="17" t="n"/>
      <c r="D38" s="17" t="n"/>
      <c r="E38" s="17" t="n"/>
      <c r="F38" s="17" t="n"/>
      <c r="G38" s="17" t="n"/>
      <c r="H38" s="17" t="n"/>
      <c r="I38" s="17" t="n"/>
    </row>
    <row r="39">
      <c r="A39" s="17" t="n"/>
      <c r="B39" s="8">
        <f>IF(A39="","",IFERROR(INDEX(แผนคลิป!$B:$B,MATCH(A39,แผนคลิป!$A:$A,0)),""))</f>
        <v/>
      </c>
      <c r="C39" s="17" t="n"/>
      <c r="D39" s="17" t="n"/>
      <c r="E39" s="17" t="n"/>
      <c r="F39" s="17" t="n"/>
      <c r="G39" s="17" t="n"/>
      <c r="H39" s="17" t="n"/>
      <c r="I39" s="17" t="n"/>
    </row>
    <row r="40">
      <c r="A40" s="17" t="n"/>
      <c r="B40" s="8">
        <f>IF(A40="","",IFERROR(INDEX(แผนคลิป!$B:$B,MATCH(A40,แผนคลิป!$A:$A,0)),""))</f>
        <v/>
      </c>
      <c r="C40" s="17" t="n"/>
      <c r="D40" s="17" t="n"/>
      <c r="E40" s="17" t="n"/>
      <c r="F40" s="17" t="n"/>
      <c r="G40" s="17" t="n"/>
      <c r="H40" s="17" t="n"/>
      <c r="I40" s="17" t="n"/>
    </row>
    <row r="41">
      <c r="A41" s="17" t="n"/>
      <c r="B41" s="8">
        <f>IF(A41="","",IFERROR(INDEX(แผนคลิป!$B:$B,MATCH(A41,แผนคลิป!$A:$A,0)),""))</f>
        <v/>
      </c>
      <c r="C41" s="17" t="n"/>
      <c r="D41" s="17" t="n"/>
      <c r="E41" s="17" t="n"/>
      <c r="F41" s="17" t="n"/>
      <c r="G41" s="17" t="n"/>
      <c r="H41" s="17" t="n"/>
      <c r="I41" s="17" t="n"/>
    </row>
    <row r="42">
      <c r="A42" s="17" t="n"/>
      <c r="B42" s="8">
        <f>IF(A42="","",IFERROR(INDEX(แผนคลิป!$B:$B,MATCH(A42,แผนคลิป!$A:$A,0)),""))</f>
        <v/>
      </c>
      <c r="C42" s="17" t="n"/>
      <c r="D42" s="17" t="n"/>
      <c r="E42" s="17" t="n"/>
      <c r="F42" s="17" t="n"/>
      <c r="G42" s="17" t="n"/>
      <c r="H42" s="17" t="n"/>
      <c r="I42" s="17" t="n"/>
    </row>
    <row r="43">
      <c r="A43" s="17" t="n"/>
      <c r="B43" s="8">
        <f>IF(A43="","",IFERROR(INDEX(แผนคลิป!$B:$B,MATCH(A43,แผนคลิป!$A:$A,0)),""))</f>
        <v/>
      </c>
      <c r="C43" s="17" t="n"/>
      <c r="D43" s="17" t="n"/>
      <c r="E43" s="17" t="n"/>
      <c r="F43" s="17" t="n"/>
      <c r="G43" s="17" t="n"/>
      <c r="H43" s="17" t="n"/>
      <c r="I43" s="17" t="n"/>
    </row>
    <row r="44">
      <c r="A44" s="17" t="n"/>
      <c r="B44" s="8">
        <f>IF(A44="","",IFERROR(INDEX(แผนคลิป!$B:$B,MATCH(A44,แผนคลิป!$A:$A,0)),""))</f>
        <v/>
      </c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n"/>
      <c r="B45" s="8">
        <f>IF(A45="","",IFERROR(INDEX(แผนคลิป!$B:$B,MATCH(A45,แผนคลิป!$A:$A,0)),""))</f>
        <v/>
      </c>
      <c r="C45" s="17" t="n"/>
      <c r="D45" s="17" t="n"/>
      <c r="E45" s="17" t="n"/>
      <c r="F45" s="17" t="n"/>
      <c r="G45" s="17" t="n"/>
      <c r="H45" s="17" t="n"/>
      <c r="I45" s="17" t="n"/>
    </row>
    <row r="46">
      <c r="A46" s="17" t="n"/>
      <c r="B46" s="8">
        <f>IF(A46="","",IFERROR(INDEX(แผนคลิป!$B:$B,MATCH(A46,แผนคลิป!$A:$A,0)),""))</f>
        <v/>
      </c>
      <c r="C46" s="17" t="n"/>
      <c r="D46" s="17" t="n"/>
      <c r="E46" s="17" t="n"/>
      <c r="F46" s="17" t="n"/>
      <c r="G46" s="17" t="n"/>
      <c r="H46" s="17" t="n"/>
      <c r="I46" s="17" t="n"/>
    </row>
    <row r="47">
      <c r="A47" s="17" t="n"/>
      <c r="B47" s="8">
        <f>IF(A47="","",IFERROR(INDEX(แผนคลิป!$B:$B,MATCH(A47,แผนคลิป!$A:$A,0)),""))</f>
        <v/>
      </c>
      <c r="C47" s="17" t="n"/>
      <c r="D47" s="17" t="n"/>
      <c r="E47" s="17" t="n"/>
      <c r="F47" s="17" t="n"/>
      <c r="G47" s="17" t="n"/>
      <c r="H47" s="17" t="n"/>
      <c r="I47" s="17" t="n"/>
    </row>
    <row r="48">
      <c r="A48" s="17" t="n"/>
      <c r="B48" s="8">
        <f>IF(A48="","",IFERROR(INDEX(แผนคลิป!$B:$B,MATCH(A48,แผนคลิป!$A:$A,0)),""))</f>
        <v/>
      </c>
      <c r="C48" s="17" t="n"/>
      <c r="D48" s="17" t="n"/>
      <c r="E48" s="17" t="n"/>
      <c r="F48" s="17" t="n"/>
      <c r="G48" s="17" t="n"/>
      <c r="H48" s="17" t="n"/>
      <c r="I48" s="17" t="n"/>
    </row>
    <row r="49">
      <c r="A49" s="17" t="n"/>
      <c r="B49" s="8">
        <f>IF(A49="","",IFERROR(INDEX(แผนคลิป!$B:$B,MATCH(A49,แผนคลิป!$A:$A,0)),""))</f>
        <v/>
      </c>
      <c r="C49" s="17" t="n"/>
      <c r="D49" s="17" t="n"/>
      <c r="E49" s="17" t="n"/>
      <c r="F49" s="17" t="n"/>
      <c r="G49" s="17" t="n"/>
      <c r="H49" s="17" t="n"/>
      <c r="I49" s="17" t="n"/>
    </row>
    <row r="50">
      <c r="A50" s="17" t="n"/>
      <c r="B50" s="8">
        <f>IF(A50="","",IFERROR(INDEX(แผนคลิป!$B:$B,MATCH(A50,แผนคลิป!$A:$A,0)),""))</f>
        <v/>
      </c>
      <c r="C50" s="17" t="n"/>
      <c r="D50" s="17" t="n"/>
      <c r="E50" s="17" t="n"/>
      <c r="F50" s="17" t="n"/>
      <c r="G50" s="17" t="n"/>
      <c r="H50" s="17" t="n"/>
      <c r="I50" s="17" t="n"/>
    </row>
    <row r="51">
      <c r="A51" s="17" t="n"/>
      <c r="B51" s="8">
        <f>IF(A51="","",IFERROR(INDEX(แผนคลิป!$B:$B,MATCH(A51,แผนคลิป!$A:$A,0)),""))</f>
        <v/>
      </c>
      <c r="C51" s="17" t="n"/>
      <c r="D51" s="17" t="n"/>
      <c r="E51" s="17" t="n"/>
      <c r="F51" s="17" t="n"/>
      <c r="G51" s="17" t="n"/>
      <c r="H51" s="17" t="n"/>
      <c r="I51" s="17" t="n"/>
    </row>
    <row r="52">
      <c r="A52" s="17" t="n"/>
      <c r="B52" s="8">
        <f>IF(A52="","",IFERROR(INDEX(แผนคลิป!$B:$B,MATCH(A52,แผนคลิป!$A:$A,0)),""))</f>
        <v/>
      </c>
      <c r="C52" s="17" t="n"/>
      <c r="D52" s="17" t="n"/>
      <c r="E52" s="17" t="n"/>
      <c r="F52" s="17" t="n"/>
      <c r="G52" s="17" t="n"/>
      <c r="H52" s="17" t="n"/>
      <c r="I52" s="17" t="n"/>
    </row>
    <row r="53">
      <c r="A53" s="17" t="n"/>
      <c r="B53" s="8">
        <f>IF(A53="","",IFERROR(INDEX(แผนคลิป!$B:$B,MATCH(A53,แผนคลิป!$A:$A,0)),""))</f>
        <v/>
      </c>
      <c r="C53" s="17" t="n"/>
      <c r="D53" s="17" t="n"/>
      <c r="E53" s="17" t="n"/>
      <c r="F53" s="17" t="n"/>
      <c r="G53" s="17" t="n"/>
      <c r="H53" s="17" t="n"/>
      <c r="I53" s="17" t="n"/>
    </row>
    <row r="54">
      <c r="A54" s="17" t="n"/>
      <c r="B54" s="8">
        <f>IF(A54="","",IFERROR(INDEX(แผนคลิป!$B:$B,MATCH(A54,แผนคลิป!$A:$A,0)),""))</f>
        <v/>
      </c>
      <c r="C54" s="17" t="n"/>
      <c r="D54" s="17" t="n"/>
      <c r="E54" s="17" t="n"/>
      <c r="F54" s="17" t="n"/>
      <c r="G54" s="17" t="n"/>
      <c r="H54" s="17" t="n"/>
      <c r="I54" s="17" t="n"/>
    </row>
    <row r="55">
      <c r="A55" s="17" t="n"/>
      <c r="B55" s="8">
        <f>IF(A55="","",IFERROR(INDEX(แผนคลิป!$B:$B,MATCH(A55,แผนคลิป!$A:$A,0)),""))</f>
        <v/>
      </c>
      <c r="C55" s="17" t="n"/>
      <c r="D55" s="17" t="n"/>
      <c r="E55" s="17" t="n"/>
      <c r="F55" s="17" t="n"/>
      <c r="G55" s="17" t="n"/>
      <c r="H55" s="17" t="n"/>
      <c r="I55" s="17" t="n"/>
    </row>
    <row r="56">
      <c r="A56" s="17" t="n"/>
      <c r="B56" s="8">
        <f>IF(A56="","",IFERROR(INDEX(แผนคลิป!$B:$B,MATCH(A56,แผนคลิป!$A:$A,0)),""))</f>
        <v/>
      </c>
      <c r="C56" s="17" t="n"/>
      <c r="D56" s="17" t="n"/>
      <c r="E56" s="17" t="n"/>
      <c r="F56" s="17" t="n"/>
      <c r="G56" s="17" t="n"/>
      <c r="H56" s="17" t="n"/>
      <c r="I56" s="17" t="n"/>
    </row>
    <row r="57">
      <c r="A57" s="17" t="n"/>
      <c r="B57" s="8">
        <f>IF(A57="","",IFERROR(INDEX(แผนคลิป!$B:$B,MATCH(A57,แผนคลิป!$A:$A,0)),""))</f>
        <v/>
      </c>
      <c r="C57" s="17" t="n"/>
      <c r="D57" s="17" t="n"/>
      <c r="E57" s="17" t="n"/>
      <c r="F57" s="17" t="n"/>
      <c r="G57" s="17" t="n"/>
      <c r="H57" s="17" t="n"/>
      <c r="I57" s="17" t="n"/>
    </row>
    <row r="58">
      <c r="A58" s="17" t="n"/>
      <c r="B58" s="8">
        <f>IF(A58="","",IFERROR(INDEX(แผนคลิป!$B:$B,MATCH(A58,แผนคลิป!$A:$A,0)),""))</f>
        <v/>
      </c>
      <c r="C58" s="17" t="n"/>
      <c r="D58" s="17" t="n"/>
      <c r="E58" s="17" t="n"/>
      <c r="F58" s="17" t="n"/>
      <c r="G58" s="17" t="n"/>
      <c r="H58" s="17" t="n"/>
      <c r="I58" s="17" t="n"/>
    </row>
    <row r="59">
      <c r="A59" s="17" t="n"/>
      <c r="B59" s="8">
        <f>IF(A59="","",IFERROR(INDEX(แผนคลิป!$B:$B,MATCH(A59,แผนคลิป!$A:$A,0)),""))</f>
        <v/>
      </c>
      <c r="C59" s="17" t="n"/>
      <c r="D59" s="17" t="n"/>
      <c r="E59" s="17" t="n"/>
      <c r="F59" s="17" t="n"/>
      <c r="G59" s="17" t="n"/>
      <c r="H59" s="17" t="n"/>
      <c r="I59" s="17" t="n"/>
    </row>
    <row r="60">
      <c r="A60" s="17" t="n"/>
      <c r="B60" s="8">
        <f>IF(A60="","",IFERROR(INDEX(แผนคลิป!$B:$B,MATCH(A60,แผนคลิป!$A:$A,0)),""))</f>
        <v/>
      </c>
      <c r="C60" s="17" t="n"/>
      <c r="D60" s="17" t="n"/>
      <c r="E60" s="17" t="n"/>
      <c r="F60" s="17" t="n"/>
      <c r="G60" s="17" t="n"/>
      <c r="H60" s="17" t="n"/>
      <c r="I60" s="17" t="n"/>
    </row>
    <row r="61">
      <c r="A61" s="17" t="n"/>
      <c r="B61" s="8">
        <f>IF(A61="","",IFERROR(INDEX(แผนคลิป!$B:$B,MATCH(A61,แผนคลิป!$A:$A,0)),""))</f>
        <v/>
      </c>
      <c r="C61" s="17" t="n"/>
      <c r="D61" s="17" t="n"/>
      <c r="E61" s="17" t="n"/>
      <c r="F61" s="17" t="n"/>
      <c r="G61" s="17" t="n"/>
      <c r="H61" s="17" t="n"/>
      <c r="I61" s="17" t="n"/>
    </row>
    <row r="62">
      <c r="A62" s="17" t="n"/>
      <c r="B62" s="8">
        <f>IF(A62="","",IFERROR(INDEX(แผนคลิป!$B:$B,MATCH(A62,แผนคลิป!$A:$A,0)),""))</f>
        <v/>
      </c>
      <c r="C62" s="17" t="n"/>
      <c r="D62" s="17" t="n"/>
      <c r="E62" s="17" t="n"/>
      <c r="F62" s="17" t="n"/>
      <c r="G62" s="17" t="n"/>
      <c r="H62" s="17" t="n"/>
      <c r="I62" s="17" t="n"/>
    </row>
    <row r="63">
      <c r="A63" s="17" t="n"/>
      <c r="B63" s="8">
        <f>IF(A63="","",IFERROR(INDEX(แผนคลิป!$B:$B,MATCH(A63,แผนคลิป!$A:$A,0)),""))</f>
        <v/>
      </c>
      <c r="C63" s="17" t="n"/>
      <c r="D63" s="17" t="n"/>
      <c r="E63" s="17" t="n"/>
      <c r="F63" s="17" t="n"/>
      <c r="G63" s="17" t="n"/>
      <c r="H63" s="17" t="n"/>
      <c r="I63" s="17" t="n"/>
    </row>
    <row r="64">
      <c r="A64" s="17" t="n"/>
      <c r="B64" s="8">
        <f>IF(A64="","",IFERROR(INDEX(แผนคลิป!$B:$B,MATCH(A64,แผนคลิป!$A:$A,0)),""))</f>
        <v/>
      </c>
      <c r="C64" s="17" t="n"/>
      <c r="D64" s="17" t="n"/>
      <c r="E64" s="17" t="n"/>
      <c r="F64" s="17" t="n"/>
      <c r="G64" s="17" t="n"/>
      <c r="H64" s="17" t="n"/>
      <c r="I64" s="17" t="n"/>
    </row>
    <row r="65">
      <c r="A65" s="17" t="n"/>
      <c r="B65" s="8">
        <f>IF(A65="","",IFERROR(INDEX(แผนคลิป!$B:$B,MATCH(A65,แผนคลิป!$A:$A,0)),""))</f>
        <v/>
      </c>
      <c r="C65" s="17" t="n"/>
      <c r="D65" s="17" t="n"/>
      <c r="E65" s="17" t="n"/>
      <c r="F65" s="17" t="n"/>
      <c r="G65" s="17" t="n"/>
      <c r="H65" s="17" t="n"/>
      <c r="I65" s="17" t="n"/>
    </row>
    <row r="66">
      <c r="A66" s="17" t="n"/>
      <c r="B66" s="8">
        <f>IF(A66="","",IFERROR(INDEX(แผนคลิป!$B:$B,MATCH(A66,แผนคลิป!$A:$A,0)),""))</f>
        <v/>
      </c>
      <c r="C66" s="17" t="n"/>
      <c r="D66" s="17" t="n"/>
      <c r="E66" s="17" t="n"/>
      <c r="F66" s="17" t="n"/>
      <c r="G66" s="17" t="n"/>
      <c r="H66" s="17" t="n"/>
      <c r="I66" s="17" t="n"/>
    </row>
    <row r="67">
      <c r="A67" s="17" t="n"/>
      <c r="B67" s="8">
        <f>IF(A67="","",IFERROR(INDEX(แผนคลิป!$B:$B,MATCH(A67,แผนคลิป!$A:$A,0)),""))</f>
        <v/>
      </c>
      <c r="C67" s="17" t="n"/>
      <c r="D67" s="17" t="n"/>
      <c r="E67" s="17" t="n"/>
      <c r="F67" s="17" t="n"/>
      <c r="G67" s="17" t="n"/>
      <c r="H67" s="17" t="n"/>
      <c r="I67" s="17" t="n"/>
    </row>
    <row r="68">
      <c r="A68" s="17" t="n"/>
      <c r="B68" s="8">
        <f>IF(A68="","",IFERROR(INDEX(แผนคลิป!$B:$B,MATCH(A68,แผนคลิป!$A:$A,0)),""))</f>
        <v/>
      </c>
      <c r="C68" s="17" t="n"/>
      <c r="D68" s="17" t="n"/>
      <c r="E68" s="17" t="n"/>
      <c r="F68" s="17" t="n"/>
      <c r="G68" s="17" t="n"/>
      <c r="H68" s="17" t="n"/>
      <c r="I68" s="17" t="n"/>
    </row>
    <row r="69">
      <c r="A69" s="17" t="n"/>
      <c r="B69" s="8">
        <f>IF(A69="","",IFERROR(INDEX(แผนคลิป!$B:$B,MATCH(A69,แผนคลิป!$A:$A,0)),""))</f>
        <v/>
      </c>
      <c r="C69" s="17" t="n"/>
      <c r="D69" s="17" t="n"/>
      <c r="E69" s="17" t="n"/>
      <c r="F69" s="17" t="n"/>
      <c r="G69" s="17" t="n"/>
      <c r="H69" s="17" t="n"/>
      <c r="I69" s="17" t="n"/>
    </row>
    <row r="70">
      <c r="A70" s="17" t="n"/>
      <c r="B70" s="8">
        <f>IF(A70="","",IFERROR(INDEX(แผนคลิป!$B:$B,MATCH(A70,แผนคลิป!$A:$A,0)),""))</f>
        <v/>
      </c>
      <c r="C70" s="17" t="n"/>
      <c r="D70" s="17" t="n"/>
      <c r="E70" s="17" t="n"/>
      <c r="F70" s="17" t="n"/>
      <c r="G70" s="17" t="n"/>
      <c r="H70" s="17" t="n"/>
      <c r="I70" s="17" t="n"/>
    </row>
    <row r="71">
      <c r="A71" s="17" t="n"/>
      <c r="B71" s="8">
        <f>IF(A71="","",IFERROR(INDEX(แผนคลิป!$B:$B,MATCH(A71,แผนคลิป!$A:$A,0)),""))</f>
        <v/>
      </c>
      <c r="C71" s="17" t="n"/>
      <c r="D71" s="17" t="n"/>
      <c r="E71" s="17" t="n"/>
      <c r="F71" s="17" t="n"/>
      <c r="G71" s="17" t="n"/>
      <c r="H71" s="17" t="n"/>
      <c r="I71" s="17" t="n"/>
    </row>
    <row r="72">
      <c r="A72" s="17" t="n"/>
      <c r="B72" s="8">
        <f>IF(A72="","",IFERROR(INDEX(แผนคลิป!$B:$B,MATCH(A72,แผนคลิป!$A:$A,0)),""))</f>
        <v/>
      </c>
      <c r="C72" s="17" t="n"/>
      <c r="D72" s="17" t="n"/>
      <c r="E72" s="17" t="n"/>
      <c r="F72" s="17" t="n"/>
      <c r="G72" s="17" t="n"/>
      <c r="H72" s="17" t="n"/>
      <c r="I72" s="17" t="n"/>
    </row>
    <row r="73">
      <c r="A73" s="17" t="n"/>
      <c r="B73" s="8">
        <f>IF(A73="","",IFERROR(INDEX(แผนคลิป!$B:$B,MATCH(A73,แผนคลิป!$A:$A,0)),""))</f>
        <v/>
      </c>
      <c r="C73" s="17" t="n"/>
      <c r="D73" s="17" t="n"/>
      <c r="E73" s="17" t="n"/>
      <c r="F73" s="17" t="n"/>
      <c r="G73" s="17" t="n"/>
      <c r="H73" s="17" t="n"/>
      <c r="I73" s="17" t="n"/>
    </row>
    <row r="74">
      <c r="A74" s="17" t="n"/>
      <c r="B74" s="8">
        <f>IF(A74="","",IFERROR(INDEX(แผนคลิป!$B:$B,MATCH(A74,แผนคลิป!$A:$A,0)),""))</f>
        <v/>
      </c>
      <c r="C74" s="17" t="n"/>
      <c r="D74" s="17" t="n"/>
      <c r="E74" s="17" t="n"/>
      <c r="F74" s="17" t="n"/>
      <c r="G74" s="17" t="n"/>
      <c r="H74" s="17" t="n"/>
      <c r="I74" s="17" t="n"/>
    </row>
    <row r="75">
      <c r="A75" s="17" t="n"/>
      <c r="B75" s="8">
        <f>IF(A75="","",IFERROR(INDEX(แผนคลิป!$B:$B,MATCH(A75,แผนคลิป!$A:$A,0)),""))</f>
        <v/>
      </c>
      <c r="C75" s="17" t="n"/>
      <c r="D75" s="17" t="n"/>
      <c r="E75" s="17" t="n"/>
      <c r="F75" s="17" t="n"/>
      <c r="G75" s="17" t="n"/>
      <c r="H75" s="17" t="n"/>
      <c r="I75" s="17" t="n"/>
    </row>
    <row r="76">
      <c r="A76" s="17" t="n"/>
      <c r="B76" s="8">
        <f>IF(A76="","",IFERROR(INDEX(แผนคลิป!$B:$B,MATCH(A76,แผนคลิป!$A:$A,0)),""))</f>
        <v/>
      </c>
      <c r="C76" s="17" t="n"/>
      <c r="D76" s="17" t="n"/>
      <c r="E76" s="17" t="n"/>
      <c r="F76" s="17" t="n"/>
      <c r="G76" s="17" t="n"/>
      <c r="H76" s="17" t="n"/>
      <c r="I76" s="17" t="n"/>
    </row>
    <row r="77">
      <c r="A77" s="17" t="n"/>
      <c r="B77" s="8">
        <f>IF(A77="","",IFERROR(INDEX(แผนคลิป!$B:$B,MATCH(A77,แผนคลิป!$A:$A,0)),""))</f>
        <v/>
      </c>
      <c r="C77" s="17" t="n"/>
      <c r="D77" s="17" t="n"/>
      <c r="E77" s="17" t="n"/>
      <c r="F77" s="17" t="n"/>
      <c r="G77" s="17" t="n"/>
      <c r="H77" s="17" t="n"/>
      <c r="I77" s="17" t="n"/>
    </row>
    <row r="78">
      <c r="A78" s="17" t="n"/>
      <c r="B78" s="8">
        <f>IF(A78="","",IFERROR(INDEX(แผนคลิป!$B:$B,MATCH(A78,แผนคลิป!$A:$A,0)),""))</f>
        <v/>
      </c>
      <c r="C78" s="17" t="n"/>
      <c r="D78" s="17" t="n"/>
      <c r="E78" s="17" t="n"/>
      <c r="F78" s="17" t="n"/>
      <c r="G78" s="17" t="n"/>
      <c r="H78" s="17" t="n"/>
      <c r="I78" s="17" t="n"/>
    </row>
    <row r="79">
      <c r="A79" s="17" t="n"/>
      <c r="B79" s="8">
        <f>IF(A79="","",IFERROR(INDEX(แผนคลิป!$B:$B,MATCH(A79,แผนคลิป!$A:$A,0)),""))</f>
        <v/>
      </c>
      <c r="C79" s="17" t="n"/>
      <c r="D79" s="17" t="n"/>
      <c r="E79" s="17" t="n"/>
      <c r="F79" s="17" t="n"/>
      <c r="G79" s="17" t="n"/>
      <c r="H79" s="17" t="n"/>
      <c r="I79" s="17" t="n"/>
    </row>
    <row r="80">
      <c r="A80" s="17" t="n"/>
      <c r="B80" s="8">
        <f>IF(A80="","",IFERROR(INDEX(แผนคลิป!$B:$B,MATCH(A80,แผนคลิป!$A:$A,0)),""))</f>
        <v/>
      </c>
      <c r="C80" s="17" t="n"/>
      <c r="D80" s="17" t="n"/>
      <c r="E80" s="17" t="n"/>
      <c r="F80" s="17" t="n"/>
      <c r="G80" s="17" t="n"/>
      <c r="H80" s="17" t="n"/>
      <c r="I80" s="17" t="n"/>
    </row>
    <row r="81">
      <c r="A81" s="17" t="n"/>
      <c r="B81" s="8">
        <f>IF(A81="","",IFERROR(INDEX(แผนคลิป!$B:$B,MATCH(A81,แผนคลิป!$A:$A,0)),""))</f>
        <v/>
      </c>
      <c r="C81" s="17" t="n"/>
      <c r="D81" s="17" t="n"/>
      <c r="E81" s="17" t="n"/>
      <c r="F81" s="17" t="n"/>
      <c r="G81" s="17" t="n"/>
      <c r="H81" s="17" t="n"/>
      <c r="I81" s="17" t="n"/>
    </row>
    <row r="82">
      <c r="A82" s="17" t="n"/>
      <c r="B82" s="8">
        <f>IF(A82="","",IFERROR(INDEX(แผนคลิป!$B:$B,MATCH(A82,แผนคลิป!$A:$A,0)),""))</f>
        <v/>
      </c>
      <c r="C82" s="17" t="n"/>
      <c r="D82" s="17" t="n"/>
      <c r="E82" s="17" t="n"/>
      <c r="F82" s="17" t="n"/>
      <c r="G82" s="17" t="n"/>
      <c r="H82" s="17" t="n"/>
      <c r="I82" s="17" t="n"/>
    </row>
    <row r="83">
      <c r="A83" s="17" t="n"/>
      <c r="B83" s="8">
        <f>IF(A83="","",IFERROR(INDEX(แผนคลิป!$B:$B,MATCH(A83,แผนคลิป!$A:$A,0)),""))</f>
        <v/>
      </c>
      <c r="C83" s="17" t="n"/>
      <c r="D83" s="17" t="n"/>
      <c r="E83" s="17" t="n"/>
      <c r="F83" s="17" t="n"/>
      <c r="G83" s="17" t="n"/>
      <c r="H83" s="17" t="n"/>
      <c r="I83" s="17" t="n"/>
    </row>
    <row r="84">
      <c r="A84" s="17" t="n"/>
      <c r="B84" s="8">
        <f>IF(A84="","",IFERROR(INDEX(แผนคลิป!$B:$B,MATCH(A84,แผนคลิป!$A:$A,0)),""))</f>
        <v/>
      </c>
      <c r="C84" s="17" t="n"/>
      <c r="D84" s="17" t="n"/>
      <c r="E84" s="17" t="n"/>
      <c r="F84" s="17" t="n"/>
      <c r="G84" s="17" t="n"/>
      <c r="H84" s="17" t="n"/>
      <c r="I84" s="17" t="n"/>
    </row>
    <row r="85">
      <c r="A85" s="17" t="n"/>
      <c r="B85" s="8">
        <f>IF(A85="","",IFERROR(INDEX(แผนคลิป!$B:$B,MATCH(A85,แผนคลิป!$A:$A,0)),""))</f>
        <v/>
      </c>
      <c r="C85" s="17" t="n"/>
      <c r="D85" s="17" t="n"/>
      <c r="E85" s="17" t="n"/>
      <c r="F85" s="17" t="n"/>
      <c r="G85" s="17" t="n"/>
      <c r="H85" s="17" t="n"/>
      <c r="I85" s="17" t="n"/>
    </row>
    <row r="86">
      <c r="A86" s="17" t="n"/>
      <c r="B86" s="8">
        <f>IF(A86="","",IFERROR(INDEX(แผนคลิป!$B:$B,MATCH(A86,แผนคลิป!$A:$A,0)),""))</f>
        <v/>
      </c>
      <c r="C86" s="17" t="n"/>
      <c r="D86" s="17" t="n"/>
      <c r="E86" s="17" t="n"/>
      <c r="F86" s="17" t="n"/>
      <c r="G86" s="17" t="n"/>
      <c r="H86" s="17" t="n"/>
      <c r="I86" s="17" t="n"/>
    </row>
    <row r="87">
      <c r="A87" s="17" t="n"/>
      <c r="B87" s="8">
        <f>IF(A87="","",IFERROR(INDEX(แผนคลิป!$B:$B,MATCH(A87,แผนคลิป!$A:$A,0)),""))</f>
        <v/>
      </c>
      <c r="C87" s="17" t="n"/>
      <c r="D87" s="17" t="n"/>
      <c r="E87" s="17" t="n"/>
      <c r="F87" s="17" t="n"/>
      <c r="G87" s="17" t="n"/>
      <c r="H87" s="17" t="n"/>
      <c r="I87" s="17" t="n"/>
    </row>
    <row r="88">
      <c r="A88" s="17" t="n"/>
      <c r="B88" s="8">
        <f>IF(A88="","",IFERROR(INDEX(แผนคลิป!$B:$B,MATCH(A88,แผนคลิป!$A:$A,0)),""))</f>
        <v/>
      </c>
      <c r="C88" s="17" t="n"/>
      <c r="D88" s="17" t="n"/>
      <c r="E88" s="17" t="n"/>
      <c r="F88" s="17" t="n"/>
      <c r="G88" s="17" t="n"/>
      <c r="H88" s="17" t="n"/>
      <c r="I88" s="17" t="n"/>
    </row>
    <row r="89">
      <c r="A89" s="17" t="n"/>
      <c r="B89" s="8">
        <f>IF(A89="","",IFERROR(INDEX(แผนคลิป!$B:$B,MATCH(A89,แผนคลิป!$A:$A,0)),""))</f>
        <v/>
      </c>
      <c r="C89" s="17" t="n"/>
      <c r="D89" s="17" t="n"/>
      <c r="E89" s="17" t="n"/>
      <c r="F89" s="17" t="n"/>
      <c r="G89" s="17" t="n"/>
      <c r="H89" s="17" t="n"/>
      <c r="I89" s="17" t="n"/>
    </row>
    <row r="90">
      <c r="A90" s="17" t="n"/>
      <c r="B90" s="8">
        <f>IF(A90="","",IFERROR(INDEX(แผนคลิป!$B:$B,MATCH(A90,แผนคลิป!$A:$A,0)),""))</f>
        <v/>
      </c>
      <c r="C90" s="17" t="n"/>
      <c r="D90" s="17" t="n"/>
      <c r="E90" s="17" t="n"/>
      <c r="F90" s="17" t="n"/>
      <c r="G90" s="17" t="n"/>
      <c r="H90" s="17" t="n"/>
      <c r="I90" s="17" t="n"/>
    </row>
    <row r="91">
      <c r="A91" s="17" t="n"/>
      <c r="B91" s="8">
        <f>IF(A91="","",IFERROR(INDEX(แผนคลิป!$B:$B,MATCH(A91,แผนคลิป!$A:$A,0)),""))</f>
        <v/>
      </c>
      <c r="C91" s="17" t="n"/>
      <c r="D91" s="17" t="n"/>
      <c r="E91" s="17" t="n"/>
      <c r="F91" s="17" t="n"/>
      <c r="G91" s="17" t="n"/>
      <c r="H91" s="17" t="n"/>
      <c r="I91" s="17" t="n"/>
    </row>
    <row r="92">
      <c r="A92" s="17" t="n"/>
      <c r="B92" s="8">
        <f>IF(A92="","",IFERROR(INDEX(แผนคลิป!$B:$B,MATCH(A92,แผนคลิป!$A:$A,0)),""))</f>
        <v/>
      </c>
      <c r="C92" s="17" t="n"/>
      <c r="D92" s="17" t="n"/>
      <c r="E92" s="17" t="n"/>
      <c r="F92" s="17" t="n"/>
      <c r="G92" s="17" t="n"/>
      <c r="H92" s="17" t="n"/>
      <c r="I92" s="17" t="n"/>
    </row>
    <row r="93">
      <c r="A93" s="17" t="n"/>
      <c r="B93" s="8">
        <f>IF(A93="","",IFERROR(INDEX(แผนคลิป!$B:$B,MATCH(A93,แผนคลิป!$A:$A,0)),""))</f>
        <v/>
      </c>
      <c r="C93" s="17" t="n"/>
      <c r="D93" s="17" t="n"/>
      <c r="E93" s="17" t="n"/>
      <c r="F93" s="17" t="n"/>
      <c r="G93" s="17" t="n"/>
      <c r="H93" s="17" t="n"/>
      <c r="I93" s="17" t="n"/>
    </row>
    <row r="94">
      <c r="A94" s="17" t="n"/>
      <c r="B94" s="8">
        <f>IF(A94="","",IFERROR(INDEX(แผนคลิป!$B:$B,MATCH(A94,แผนคลิป!$A:$A,0)),""))</f>
        <v/>
      </c>
      <c r="C94" s="17" t="n"/>
      <c r="D94" s="17" t="n"/>
      <c r="E94" s="17" t="n"/>
      <c r="F94" s="17" t="n"/>
      <c r="G94" s="17" t="n"/>
      <c r="H94" s="17" t="n"/>
      <c r="I94" s="17" t="n"/>
    </row>
    <row r="95">
      <c r="A95" s="17" t="n"/>
      <c r="B95" s="8">
        <f>IF(A95="","",IFERROR(INDEX(แผนคลิป!$B:$B,MATCH(A95,แผนคลิป!$A:$A,0)),""))</f>
        <v/>
      </c>
      <c r="C95" s="17" t="n"/>
      <c r="D95" s="17" t="n"/>
      <c r="E95" s="17" t="n"/>
      <c r="F95" s="17" t="n"/>
      <c r="G95" s="17" t="n"/>
      <c r="H95" s="17" t="n"/>
      <c r="I95" s="17" t="n"/>
    </row>
    <row r="96">
      <c r="A96" s="17" t="n"/>
      <c r="B96" s="8">
        <f>IF(A96="","",IFERROR(INDEX(แผนคลิป!$B:$B,MATCH(A96,แผนคลิป!$A:$A,0)),""))</f>
        <v/>
      </c>
      <c r="C96" s="17" t="n"/>
      <c r="D96" s="17" t="n"/>
      <c r="E96" s="17" t="n"/>
      <c r="F96" s="17" t="n"/>
      <c r="G96" s="17" t="n"/>
      <c r="H96" s="17" t="n"/>
      <c r="I96" s="17" t="n"/>
    </row>
    <row r="97">
      <c r="A97" s="17" t="n"/>
      <c r="B97" s="8">
        <f>IF(A97="","",IFERROR(INDEX(แผนคลิป!$B:$B,MATCH(A97,แผนคลิป!$A:$A,0)),""))</f>
        <v/>
      </c>
      <c r="C97" s="17" t="n"/>
      <c r="D97" s="17" t="n"/>
      <c r="E97" s="17" t="n"/>
      <c r="F97" s="17" t="n"/>
      <c r="G97" s="17" t="n"/>
      <c r="H97" s="17" t="n"/>
      <c r="I97" s="17" t="n"/>
    </row>
    <row r="98">
      <c r="A98" s="17" t="n"/>
      <c r="B98" s="8">
        <f>IF(A98="","",IFERROR(INDEX(แผนคลิป!$B:$B,MATCH(A98,แผนคลิป!$A:$A,0)),""))</f>
        <v/>
      </c>
      <c r="C98" s="17" t="n"/>
      <c r="D98" s="17" t="n"/>
      <c r="E98" s="17" t="n"/>
      <c r="F98" s="17" t="n"/>
      <c r="G98" s="17" t="n"/>
      <c r="H98" s="17" t="n"/>
      <c r="I98" s="17" t="n"/>
    </row>
    <row r="99">
      <c r="A99" s="17" t="n"/>
      <c r="B99" s="8">
        <f>IF(A99="","",IFERROR(INDEX(แผนคลิป!$B:$B,MATCH(A99,แผนคลิป!$A:$A,0)),""))</f>
        <v/>
      </c>
      <c r="C99" s="17" t="n"/>
      <c r="D99" s="17" t="n"/>
      <c r="E99" s="17" t="n"/>
      <c r="F99" s="17" t="n"/>
      <c r="G99" s="17" t="n"/>
      <c r="H99" s="17" t="n"/>
      <c r="I99" s="17" t="n"/>
    </row>
    <row r="100">
      <c r="A100" s="17" t="n"/>
      <c r="B100" s="8">
        <f>IF(A100="","",IFERROR(INDEX(แผนคลิป!$B:$B,MATCH(A100,แผนคลิป!$A:$A,0)),""))</f>
        <v/>
      </c>
      <c r="C100" s="17" t="n"/>
      <c r="D100" s="17" t="n"/>
      <c r="E100" s="17" t="n"/>
      <c r="F100" s="17" t="n"/>
      <c r="G100" s="17" t="n"/>
      <c r="H100" s="17" t="n"/>
      <c r="I100" s="17" t="n"/>
    </row>
    <row r="101">
      <c r="A101" s="17" t="n"/>
      <c r="B101" s="8">
        <f>IF(A101="","",IFERROR(INDEX(แผนคลิป!$B:$B,MATCH(A101,แผนคลิป!$A:$A,0)),""))</f>
        <v/>
      </c>
      <c r="C101" s="17" t="n"/>
      <c r="D101" s="17" t="n"/>
      <c r="E101" s="17" t="n"/>
      <c r="F101" s="17" t="n"/>
      <c r="G101" s="17" t="n"/>
      <c r="H101" s="17" t="n"/>
      <c r="I101" s="17" t="n"/>
    </row>
    <row r="102">
      <c r="A102" s="17" t="n"/>
      <c r="B102" s="8">
        <f>IF(A102="","",IFERROR(INDEX(แผนคลิป!$B:$B,MATCH(A102,แผนคลิป!$A:$A,0)),""))</f>
        <v/>
      </c>
      <c r="C102" s="17" t="n"/>
      <c r="D102" s="17" t="n"/>
      <c r="E102" s="17" t="n"/>
      <c r="F102" s="17" t="n"/>
      <c r="G102" s="17" t="n"/>
      <c r="H102" s="17" t="n"/>
      <c r="I102" s="17" t="n"/>
    </row>
    <row r="103">
      <c r="A103" s="17" t="n"/>
      <c r="B103" s="8">
        <f>IF(A103="","",IFERROR(INDEX(แผนคลิป!$B:$B,MATCH(A103,แผนคลิป!$A:$A,0)),""))</f>
        <v/>
      </c>
      <c r="C103" s="17" t="n"/>
      <c r="D103" s="17" t="n"/>
      <c r="E103" s="17" t="n"/>
      <c r="F103" s="17" t="n"/>
      <c r="G103" s="17" t="n"/>
      <c r="H103" s="17" t="n"/>
      <c r="I103" s="17" t="n"/>
    </row>
    <row r="104">
      <c r="A104" s="17" t="n"/>
      <c r="B104" s="8">
        <f>IF(A104="","",IFERROR(INDEX(แผนคลิป!$B:$B,MATCH(A104,แผนคลิป!$A:$A,0)),""))</f>
        <v/>
      </c>
      <c r="C104" s="17" t="n"/>
      <c r="D104" s="17" t="n"/>
      <c r="E104" s="17" t="n"/>
      <c r="F104" s="17" t="n"/>
      <c r="G104" s="17" t="n"/>
      <c r="H104" s="17" t="n"/>
      <c r="I104" s="17" t="n"/>
    </row>
    <row r="105">
      <c r="A105" s="17" t="n"/>
      <c r="B105" s="8">
        <f>IF(A105="","",IFERROR(INDEX(แผนคลิป!$B:$B,MATCH(A105,แผนคลิป!$A:$A,0)),""))</f>
        <v/>
      </c>
      <c r="C105" s="17" t="n"/>
      <c r="D105" s="17" t="n"/>
      <c r="E105" s="17" t="n"/>
      <c r="F105" s="17" t="n"/>
      <c r="G105" s="17" t="n"/>
      <c r="H105" s="17" t="n"/>
      <c r="I105" s="17" t="n"/>
    </row>
    <row r="106">
      <c r="A106" s="17" t="n"/>
      <c r="B106" s="8">
        <f>IF(A106="","",IFERROR(INDEX(แผนคลิป!$B:$B,MATCH(A106,แผนคลิป!$A:$A,0)),""))</f>
        <v/>
      </c>
      <c r="C106" s="17" t="n"/>
      <c r="D106" s="17" t="n"/>
      <c r="E106" s="17" t="n"/>
      <c r="F106" s="17" t="n"/>
      <c r="G106" s="17" t="n"/>
      <c r="H106" s="17" t="n"/>
      <c r="I106" s="17" t="n"/>
    </row>
    <row r="107">
      <c r="A107" s="17" t="n"/>
      <c r="B107" s="8">
        <f>IF(A107="","",IFERROR(INDEX(แผนคลิป!$B:$B,MATCH(A107,แผนคลิป!$A:$A,0)),""))</f>
        <v/>
      </c>
      <c r="C107" s="17" t="n"/>
      <c r="D107" s="17" t="n"/>
      <c r="E107" s="17" t="n"/>
      <c r="F107" s="17" t="n"/>
      <c r="G107" s="17" t="n"/>
      <c r="H107" s="17" t="n"/>
      <c r="I107" s="17" t="n"/>
    </row>
    <row r="108">
      <c r="A108" s="17" t="n"/>
      <c r="B108" s="8">
        <f>IF(A108="","",IFERROR(INDEX(แผนคลิป!$B:$B,MATCH(A108,แผนคลิป!$A:$A,0)),""))</f>
        <v/>
      </c>
      <c r="C108" s="17" t="n"/>
      <c r="D108" s="17" t="n"/>
      <c r="E108" s="17" t="n"/>
      <c r="F108" s="17" t="n"/>
      <c r="G108" s="17" t="n"/>
      <c r="H108" s="17" t="n"/>
      <c r="I108" s="17" t="n"/>
    </row>
    <row r="109">
      <c r="A109" s="17" t="n"/>
      <c r="B109" s="8">
        <f>IF(A109="","",IFERROR(INDEX(แผนคลิป!$B:$B,MATCH(A109,แผนคลิป!$A:$A,0)),""))</f>
        <v/>
      </c>
      <c r="C109" s="17" t="n"/>
      <c r="D109" s="17" t="n"/>
      <c r="E109" s="17" t="n"/>
      <c r="F109" s="17" t="n"/>
      <c r="G109" s="17" t="n"/>
      <c r="H109" s="17" t="n"/>
      <c r="I109" s="17" t="n"/>
    </row>
    <row r="110">
      <c r="A110" s="17" t="n"/>
      <c r="B110" s="8">
        <f>IF(A110="","",IFERROR(INDEX(แผนคลิป!$B:$B,MATCH(A110,แผนคลิป!$A:$A,0)),""))</f>
        <v/>
      </c>
      <c r="C110" s="17" t="n"/>
      <c r="D110" s="17" t="n"/>
      <c r="E110" s="17" t="n"/>
      <c r="F110" s="17" t="n"/>
      <c r="G110" s="17" t="n"/>
      <c r="H110" s="17" t="n"/>
      <c r="I110" s="17" t="n"/>
    </row>
    <row r="111">
      <c r="A111" s="17" t="n"/>
      <c r="B111" s="8">
        <f>IF(A111="","",IFERROR(INDEX(แผนคลิป!$B:$B,MATCH(A111,แผนคลิป!$A:$A,0)),""))</f>
        <v/>
      </c>
      <c r="C111" s="17" t="n"/>
      <c r="D111" s="17" t="n"/>
      <c r="E111" s="17" t="n"/>
      <c r="F111" s="17" t="n"/>
      <c r="G111" s="17" t="n"/>
      <c r="H111" s="17" t="n"/>
      <c r="I111" s="17" t="n"/>
    </row>
    <row r="112">
      <c r="A112" s="17" t="n"/>
      <c r="B112" s="8">
        <f>IF(A112="","",IFERROR(INDEX(แผนคลิป!$B:$B,MATCH(A112,แผนคลิป!$A:$A,0)),""))</f>
        <v/>
      </c>
      <c r="C112" s="17" t="n"/>
      <c r="D112" s="17" t="n"/>
      <c r="E112" s="17" t="n"/>
      <c r="F112" s="17" t="n"/>
      <c r="G112" s="17" t="n"/>
      <c r="H112" s="17" t="n"/>
      <c r="I112" s="17" t="n"/>
    </row>
    <row r="113">
      <c r="A113" s="17" t="n"/>
      <c r="B113" s="8">
        <f>IF(A113="","",IFERROR(INDEX(แผนคลิป!$B:$B,MATCH(A113,แผนคลิป!$A:$A,0)),""))</f>
        <v/>
      </c>
      <c r="C113" s="17" t="n"/>
      <c r="D113" s="17" t="n"/>
      <c r="E113" s="17" t="n"/>
      <c r="F113" s="17" t="n"/>
      <c r="G113" s="17" t="n"/>
      <c r="H113" s="17" t="n"/>
      <c r="I113" s="17" t="n"/>
    </row>
    <row r="114">
      <c r="A114" s="17" t="n"/>
      <c r="B114" s="8">
        <f>IF(A114="","",IFERROR(INDEX(แผนคลิป!$B:$B,MATCH(A114,แผนคลิป!$A:$A,0)),""))</f>
        <v/>
      </c>
      <c r="C114" s="17" t="n"/>
      <c r="D114" s="17" t="n"/>
      <c r="E114" s="17" t="n"/>
      <c r="F114" s="17" t="n"/>
      <c r="G114" s="17" t="n"/>
      <c r="H114" s="17" t="n"/>
      <c r="I114" s="17" t="n"/>
    </row>
    <row r="115">
      <c r="A115" s="17" t="n"/>
      <c r="B115" s="8">
        <f>IF(A115="","",IFERROR(INDEX(แผนคลิป!$B:$B,MATCH(A115,แผนคลิป!$A:$A,0)),""))</f>
        <v/>
      </c>
      <c r="C115" s="17" t="n"/>
      <c r="D115" s="17" t="n"/>
      <c r="E115" s="17" t="n"/>
      <c r="F115" s="17" t="n"/>
      <c r="G115" s="17" t="n"/>
      <c r="H115" s="17" t="n"/>
      <c r="I115" s="17" t="n"/>
    </row>
    <row r="116">
      <c r="A116" s="17" t="n"/>
      <c r="B116" s="8">
        <f>IF(A116="","",IFERROR(INDEX(แผนคลิป!$B:$B,MATCH(A116,แผนคลิป!$A:$A,0)),""))</f>
        <v/>
      </c>
      <c r="C116" s="17" t="n"/>
      <c r="D116" s="17" t="n"/>
      <c r="E116" s="17" t="n"/>
      <c r="F116" s="17" t="n"/>
      <c r="G116" s="17" t="n"/>
      <c r="H116" s="17" t="n"/>
      <c r="I116" s="17" t="n"/>
    </row>
    <row r="117">
      <c r="A117" s="17" t="n"/>
      <c r="B117" s="8">
        <f>IF(A117="","",IFERROR(INDEX(แผนคลิป!$B:$B,MATCH(A117,แผนคลิป!$A:$A,0)),""))</f>
        <v/>
      </c>
      <c r="C117" s="17" t="n"/>
      <c r="D117" s="17" t="n"/>
      <c r="E117" s="17" t="n"/>
      <c r="F117" s="17" t="n"/>
      <c r="G117" s="17" t="n"/>
      <c r="H117" s="17" t="n"/>
      <c r="I117" s="17" t="n"/>
    </row>
    <row r="118">
      <c r="A118" s="17" t="n"/>
      <c r="B118" s="8">
        <f>IF(A118="","",IFERROR(INDEX(แผนคลิป!$B:$B,MATCH(A118,แผนคลิป!$A:$A,0)),""))</f>
        <v/>
      </c>
      <c r="C118" s="17" t="n"/>
      <c r="D118" s="17" t="n"/>
      <c r="E118" s="17" t="n"/>
      <c r="F118" s="17" t="n"/>
      <c r="G118" s="17" t="n"/>
      <c r="H118" s="17" t="n"/>
      <c r="I118" s="17" t="n"/>
    </row>
    <row r="119">
      <c r="A119" s="17" t="n"/>
      <c r="B119" s="8">
        <f>IF(A119="","",IFERROR(INDEX(แผนคลิป!$B:$B,MATCH(A119,แผนคลิป!$A:$A,0)),""))</f>
        <v/>
      </c>
      <c r="C119" s="17" t="n"/>
      <c r="D119" s="17" t="n"/>
      <c r="E119" s="17" t="n"/>
      <c r="F119" s="17" t="n"/>
      <c r="G119" s="17" t="n"/>
      <c r="H119" s="17" t="n"/>
      <c r="I119" s="17" t="n"/>
    </row>
    <row r="120">
      <c r="A120" s="17" t="n"/>
      <c r="B120" s="8">
        <f>IF(A120="","",IFERROR(INDEX(แผนคลิป!$B:$B,MATCH(A120,แผนคลิป!$A:$A,0)),""))</f>
        <v/>
      </c>
      <c r="C120" s="17" t="n"/>
      <c r="D120" s="17" t="n"/>
      <c r="E120" s="17" t="n"/>
      <c r="F120" s="17" t="n"/>
      <c r="G120" s="17" t="n"/>
      <c r="H120" s="17" t="n"/>
      <c r="I120" s="17" t="n"/>
    </row>
    <row r="121">
      <c r="A121" s="17" t="n"/>
      <c r="B121" s="8">
        <f>IF(A121="","",IFERROR(INDEX(แผนคลิป!$B:$B,MATCH(A121,แผนคลิป!$A:$A,0)),""))</f>
        <v/>
      </c>
      <c r="C121" s="17" t="n"/>
      <c r="D121" s="17" t="n"/>
      <c r="E121" s="17" t="n"/>
      <c r="F121" s="17" t="n"/>
      <c r="G121" s="17" t="n"/>
      <c r="H121" s="17" t="n"/>
      <c r="I121" s="17" t="n"/>
    </row>
    <row r="122">
      <c r="A122" s="17" t="n"/>
      <c r="B122" s="8">
        <f>IF(A122="","",IFERROR(INDEX(แผนคลิป!$B:$B,MATCH(A122,แผนคลิป!$A:$A,0)),""))</f>
        <v/>
      </c>
      <c r="C122" s="17" t="n"/>
      <c r="D122" s="17" t="n"/>
      <c r="E122" s="17" t="n"/>
      <c r="F122" s="17" t="n"/>
      <c r="G122" s="17" t="n"/>
      <c r="H122" s="17" t="n"/>
      <c r="I122" s="17" t="n"/>
    </row>
    <row r="123">
      <c r="A123" s="17" t="n"/>
      <c r="B123" s="8">
        <f>IF(A123="","",IFERROR(INDEX(แผนคลิป!$B:$B,MATCH(A123,แผนคลิป!$A:$A,0)),""))</f>
        <v/>
      </c>
      <c r="C123" s="17" t="n"/>
      <c r="D123" s="17" t="n"/>
      <c r="E123" s="17" t="n"/>
      <c r="F123" s="17" t="n"/>
      <c r="G123" s="17" t="n"/>
      <c r="H123" s="17" t="n"/>
      <c r="I123" s="17" t="n"/>
    </row>
    <row r="124">
      <c r="A124" s="17" t="n"/>
      <c r="B124" s="8">
        <f>IF(A124="","",IFERROR(INDEX(แผนคลิป!$B:$B,MATCH(A124,แผนคลิป!$A:$A,0)),""))</f>
        <v/>
      </c>
      <c r="C124" s="17" t="n"/>
      <c r="D124" s="17" t="n"/>
      <c r="E124" s="17" t="n"/>
      <c r="F124" s="17" t="n"/>
      <c r="G124" s="17" t="n"/>
      <c r="H124" s="17" t="n"/>
      <c r="I124" s="17" t="n"/>
    </row>
    <row r="125">
      <c r="A125" s="17" t="n"/>
      <c r="B125" s="8">
        <f>IF(A125="","",IFERROR(INDEX(แผนคลิป!$B:$B,MATCH(A125,แผนคลิป!$A:$A,0)),""))</f>
        <v/>
      </c>
      <c r="C125" s="17" t="n"/>
      <c r="D125" s="17" t="n"/>
      <c r="E125" s="17" t="n"/>
      <c r="F125" s="17" t="n"/>
      <c r="G125" s="17" t="n"/>
      <c r="H125" s="17" t="n"/>
      <c r="I125" s="17" t="n"/>
    </row>
    <row r="126">
      <c r="A126" s="17" t="n"/>
      <c r="B126" s="8">
        <f>IF(A126="","",IFERROR(INDEX(แผนคลิป!$B:$B,MATCH(A126,แผนคลิป!$A:$A,0)),""))</f>
        <v/>
      </c>
      <c r="C126" s="17" t="n"/>
      <c r="D126" s="17" t="n"/>
      <c r="E126" s="17" t="n"/>
      <c r="F126" s="17" t="n"/>
      <c r="G126" s="17" t="n"/>
      <c r="H126" s="17" t="n"/>
      <c r="I126" s="17" t="n"/>
    </row>
    <row r="127">
      <c r="A127" s="17" t="n"/>
      <c r="B127" s="8">
        <f>IF(A127="","",IFERROR(INDEX(แผนคลิป!$B:$B,MATCH(A127,แผนคลิป!$A:$A,0)),""))</f>
        <v/>
      </c>
      <c r="C127" s="17" t="n"/>
      <c r="D127" s="17" t="n"/>
      <c r="E127" s="17" t="n"/>
      <c r="F127" s="17" t="n"/>
      <c r="G127" s="17" t="n"/>
      <c r="H127" s="17" t="n"/>
      <c r="I127" s="17" t="n"/>
    </row>
    <row r="128">
      <c r="A128" s="17" t="n"/>
      <c r="B128" s="8">
        <f>IF(A128="","",IFERROR(INDEX(แผนคลิป!$B:$B,MATCH(A128,แผนคลิป!$A:$A,0)),""))</f>
        <v/>
      </c>
      <c r="C128" s="17" t="n"/>
      <c r="D128" s="17" t="n"/>
      <c r="E128" s="17" t="n"/>
      <c r="F128" s="17" t="n"/>
      <c r="G128" s="17" t="n"/>
      <c r="H128" s="17" t="n"/>
      <c r="I128" s="17" t="n"/>
    </row>
    <row r="129">
      <c r="A129" s="17" t="n"/>
      <c r="B129" s="8">
        <f>IF(A129="","",IFERROR(INDEX(แผนคลิป!$B:$B,MATCH(A129,แผนคลิป!$A:$A,0)),""))</f>
        <v/>
      </c>
      <c r="C129" s="17" t="n"/>
      <c r="D129" s="17" t="n"/>
      <c r="E129" s="17" t="n"/>
      <c r="F129" s="17" t="n"/>
      <c r="G129" s="17" t="n"/>
      <c r="H129" s="17" t="n"/>
      <c r="I129" s="17" t="n"/>
    </row>
    <row r="130">
      <c r="A130" s="17" t="n"/>
      <c r="B130" s="8">
        <f>IF(A130="","",IFERROR(INDEX(แผนคลิป!$B:$B,MATCH(A130,แผนคลิป!$A:$A,0)),""))</f>
        <v/>
      </c>
      <c r="C130" s="17" t="n"/>
      <c r="D130" s="17" t="n"/>
      <c r="E130" s="17" t="n"/>
      <c r="F130" s="17" t="n"/>
      <c r="G130" s="17" t="n"/>
      <c r="H130" s="17" t="n"/>
      <c r="I130" s="17" t="n"/>
    </row>
    <row r="131">
      <c r="A131" s="17" t="n"/>
      <c r="B131" s="8">
        <f>IF(A131="","",IFERROR(INDEX(แผนคลิป!$B:$B,MATCH(A131,แผนคลิป!$A:$A,0)),""))</f>
        <v/>
      </c>
      <c r="C131" s="17" t="n"/>
      <c r="D131" s="17" t="n"/>
      <c r="E131" s="17" t="n"/>
      <c r="F131" s="17" t="n"/>
      <c r="G131" s="17" t="n"/>
      <c r="H131" s="17" t="n"/>
      <c r="I131" s="17" t="n"/>
    </row>
    <row r="132">
      <c r="A132" s="17" t="n"/>
      <c r="B132" s="8">
        <f>IF(A132="","",IFERROR(INDEX(แผนคลิป!$B:$B,MATCH(A132,แผนคลิป!$A:$A,0)),""))</f>
        <v/>
      </c>
      <c r="C132" s="17" t="n"/>
      <c r="D132" s="17" t="n"/>
      <c r="E132" s="17" t="n"/>
      <c r="F132" s="17" t="n"/>
      <c r="G132" s="17" t="n"/>
      <c r="H132" s="17" t="n"/>
      <c r="I132" s="17" t="n"/>
    </row>
    <row r="133">
      <c r="A133" s="17" t="n"/>
      <c r="B133" s="8">
        <f>IF(A133="","",IFERROR(INDEX(แผนคลิป!$B:$B,MATCH(A133,แผนคลิป!$A:$A,0)),""))</f>
        <v/>
      </c>
      <c r="C133" s="17" t="n"/>
      <c r="D133" s="17" t="n"/>
      <c r="E133" s="17" t="n"/>
      <c r="F133" s="17" t="n"/>
      <c r="G133" s="17" t="n"/>
      <c r="H133" s="17" t="n"/>
      <c r="I133" s="17" t="n"/>
    </row>
    <row r="134">
      <c r="A134" s="17" t="n"/>
      <c r="B134" s="8">
        <f>IF(A134="","",IFERROR(INDEX(แผนคลิป!$B:$B,MATCH(A134,แผนคลิป!$A:$A,0)),""))</f>
        <v/>
      </c>
      <c r="C134" s="17" t="n"/>
      <c r="D134" s="17" t="n"/>
      <c r="E134" s="17" t="n"/>
      <c r="F134" s="17" t="n"/>
      <c r="G134" s="17" t="n"/>
      <c r="H134" s="17" t="n"/>
      <c r="I134" s="17" t="n"/>
    </row>
    <row r="135">
      <c r="A135" s="17" t="n"/>
      <c r="B135" s="8">
        <f>IF(A135="","",IFERROR(INDEX(แผนคลิป!$B:$B,MATCH(A135,แผนคลิป!$A:$A,0)),""))</f>
        <v/>
      </c>
      <c r="C135" s="17" t="n"/>
      <c r="D135" s="17" t="n"/>
      <c r="E135" s="17" t="n"/>
      <c r="F135" s="17" t="n"/>
      <c r="G135" s="17" t="n"/>
      <c r="H135" s="17" t="n"/>
      <c r="I135" s="17" t="n"/>
    </row>
    <row r="136">
      <c r="A136" s="17" t="n"/>
      <c r="B136" s="8">
        <f>IF(A136="","",IFERROR(INDEX(แผนคลิป!$B:$B,MATCH(A136,แผนคลิป!$A:$A,0)),""))</f>
        <v/>
      </c>
      <c r="C136" s="17" t="n"/>
      <c r="D136" s="17" t="n"/>
      <c r="E136" s="17" t="n"/>
      <c r="F136" s="17" t="n"/>
      <c r="G136" s="17" t="n"/>
      <c r="H136" s="17" t="n"/>
      <c r="I136" s="17" t="n"/>
    </row>
    <row r="137">
      <c r="A137" s="17" t="n"/>
      <c r="B137" s="8">
        <f>IF(A137="","",IFERROR(INDEX(แผนคลิป!$B:$B,MATCH(A137,แผนคลิป!$A:$A,0)),""))</f>
        <v/>
      </c>
      <c r="C137" s="17" t="n"/>
      <c r="D137" s="17" t="n"/>
      <c r="E137" s="17" t="n"/>
      <c r="F137" s="17" t="n"/>
      <c r="G137" s="17" t="n"/>
      <c r="H137" s="17" t="n"/>
      <c r="I137" s="17" t="n"/>
    </row>
    <row r="138">
      <c r="A138" s="17" t="n"/>
      <c r="B138" s="8">
        <f>IF(A138="","",IFERROR(INDEX(แผนคลิป!$B:$B,MATCH(A138,แผนคลิป!$A:$A,0)),""))</f>
        <v/>
      </c>
      <c r="C138" s="17" t="n"/>
      <c r="D138" s="17" t="n"/>
      <c r="E138" s="17" t="n"/>
      <c r="F138" s="17" t="n"/>
      <c r="G138" s="17" t="n"/>
      <c r="H138" s="17" t="n"/>
      <c r="I138" s="17" t="n"/>
    </row>
    <row r="139">
      <c r="A139" s="17" t="n"/>
      <c r="B139" s="8">
        <f>IF(A139="","",IFERROR(INDEX(แผนคลิป!$B:$B,MATCH(A139,แผนคลิป!$A:$A,0)),""))</f>
        <v/>
      </c>
      <c r="C139" s="17" t="n"/>
      <c r="D139" s="17" t="n"/>
      <c r="E139" s="17" t="n"/>
      <c r="F139" s="17" t="n"/>
      <c r="G139" s="17" t="n"/>
      <c r="H139" s="17" t="n"/>
      <c r="I139" s="17" t="n"/>
    </row>
    <row r="140">
      <c r="A140" s="17" t="n"/>
      <c r="B140" s="8">
        <f>IF(A140="","",IFERROR(INDEX(แผนคลิป!$B:$B,MATCH(A140,แผนคลิป!$A:$A,0)),""))</f>
        <v/>
      </c>
      <c r="C140" s="17" t="n"/>
      <c r="D140" s="17" t="n"/>
      <c r="E140" s="17" t="n"/>
      <c r="F140" s="17" t="n"/>
      <c r="G140" s="17" t="n"/>
      <c r="H140" s="17" t="n"/>
      <c r="I140" s="17" t="n"/>
    </row>
    <row r="141">
      <c r="A141" s="17" t="n"/>
      <c r="B141" s="8">
        <f>IF(A141="","",IFERROR(INDEX(แผนคลิป!$B:$B,MATCH(A141,แผนคลิป!$A:$A,0)),""))</f>
        <v/>
      </c>
      <c r="C141" s="17" t="n"/>
      <c r="D141" s="17" t="n"/>
      <c r="E141" s="17" t="n"/>
      <c r="F141" s="17" t="n"/>
      <c r="G141" s="17" t="n"/>
      <c r="H141" s="17" t="n"/>
      <c r="I141" s="17" t="n"/>
    </row>
    <row r="142">
      <c r="A142" s="17" t="n"/>
      <c r="B142" s="8">
        <f>IF(A142="","",IFERROR(INDEX(แผนคลิป!$B:$B,MATCH(A142,แผนคลิป!$A:$A,0)),""))</f>
        <v/>
      </c>
      <c r="C142" s="17" t="n"/>
      <c r="D142" s="17" t="n"/>
      <c r="E142" s="17" t="n"/>
      <c r="F142" s="17" t="n"/>
      <c r="G142" s="17" t="n"/>
      <c r="H142" s="17" t="n"/>
      <c r="I142" s="17" t="n"/>
    </row>
    <row r="143">
      <c r="A143" s="17" t="n"/>
      <c r="B143" s="8">
        <f>IF(A143="","",IFERROR(INDEX(แผนคลิป!$B:$B,MATCH(A143,แผนคลิป!$A:$A,0)),""))</f>
        <v/>
      </c>
      <c r="C143" s="17" t="n"/>
      <c r="D143" s="17" t="n"/>
      <c r="E143" s="17" t="n"/>
      <c r="F143" s="17" t="n"/>
      <c r="G143" s="17" t="n"/>
      <c r="H143" s="17" t="n"/>
      <c r="I143" s="17" t="n"/>
    </row>
    <row r="144">
      <c r="A144" s="17" t="n"/>
      <c r="B144" s="8">
        <f>IF(A144="","",IFERROR(INDEX(แผนคลิป!$B:$B,MATCH(A144,แผนคลิป!$A:$A,0)),""))</f>
        <v/>
      </c>
      <c r="C144" s="17" t="n"/>
      <c r="D144" s="17" t="n"/>
      <c r="E144" s="17" t="n"/>
      <c r="F144" s="17" t="n"/>
      <c r="G144" s="17" t="n"/>
      <c r="H144" s="17" t="n"/>
      <c r="I144" s="17" t="n"/>
    </row>
    <row r="145">
      <c r="A145" s="17" t="n"/>
      <c r="B145" s="8">
        <f>IF(A145="","",IFERROR(INDEX(แผนคลิป!$B:$B,MATCH(A145,แผนคลิป!$A:$A,0)),""))</f>
        <v/>
      </c>
      <c r="C145" s="17" t="n"/>
      <c r="D145" s="17" t="n"/>
      <c r="E145" s="17" t="n"/>
      <c r="F145" s="17" t="n"/>
      <c r="G145" s="17" t="n"/>
      <c r="H145" s="17" t="n"/>
      <c r="I145" s="17" t="n"/>
    </row>
    <row r="146">
      <c r="A146" s="17" t="n"/>
      <c r="B146" s="8">
        <f>IF(A146="","",IFERROR(INDEX(แผนคลิป!$B:$B,MATCH(A146,แผนคลิป!$A:$A,0)),""))</f>
        <v/>
      </c>
      <c r="C146" s="17" t="n"/>
      <c r="D146" s="17" t="n"/>
      <c r="E146" s="17" t="n"/>
      <c r="F146" s="17" t="n"/>
      <c r="G146" s="17" t="n"/>
      <c r="H146" s="17" t="n"/>
      <c r="I146" s="17" t="n"/>
    </row>
    <row r="147">
      <c r="A147" s="17" t="n"/>
      <c r="B147" s="8">
        <f>IF(A147="","",IFERROR(INDEX(แผนคลิป!$B:$B,MATCH(A147,แผนคลิป!$A:$A,0)),""))</f>
        <v/>
      </c>
      <c r="C147" s="17" t="n"/>
      <c r="D147" s="17" t="n"/>
      <c r="E147" s="17" t="n"/>
      <c r="F147" s="17" t="n"/>
      <c r="G147" s="17" t="n"/>
      <c r="H147" s="17" t="n"/>
      <c r="I147" s="17" t="n"/>
    </row>
    <row r="148">
      <c r="A148" s="17" t="n"/>
      <c r="B148" s="8">
        <f>IF(A148="","",IFERROR(INDEX(แผนคลิป!$B:$B,MATCH(A148,แผนคลิป!$A:$A,0)),""))</f>
        <v/>
      </c>
      <c r="C148" s="17" t="n"/>
      <c r="D148" s="17" t="n"/>
      <c r="E148" s="17" t="n"/>
      <c r="F148" s="17" t="n"/>
      <c r="G148" s="17" t="n"/>
      <c r="H148" s="17" t="n"/>
      <c r="I148" s="17" t="n"/>
    </row>
    <row r="149">
      <c r="A149" s="17" t="n"/>
      <c r="B149" s="8">
        <f>IF(A149="","",IFERROR(INDEX(แผนคลิป!$B:$B,MATCH(A149,แผนคลิป!$A:$A,0)),""))</f>
        <v/>
      </c>
      <c r="C149" s="17" t="n"/>
      <c r="D149" s="17" t="n"/>
      <c r="E149" s="17" t="n"/>
      <c r="F149" s="17" t="n"/>
      <c r="G149" s="17" t="n"/>
      <c r="H149" s="17" t="n"/>
      <c r="I149" s="17" t="n"/>
    </row>
    <row r="150">
      <c r="A150" s="17" t="n"/>
      <c r="B150" s="8">
        <f>IF(A150="","",IFERROR(INDEX(แผนคลิป!$B:$B,MATCH(A150,แผนคลิป!$A:$A,0)),""))</f>
        <v/>
      </c>
      <c r="C150" s="17" t="n"/>
      <c r="D150" s="17" t="n"/>
      <c r="E150" s="17" t="n"/>
      <c r="F150" s="17" t="n"/>
      <c r="G150" s="17" t="n"/>
      <c r="H150" s="17" t="n"/>
      <c r="I150" s="17" t="n"/>
    </row>
    <row r="151">
      <c r="A151" s="17" t="n"/>
      <c r="B151" s="8">
        <f>IF(A151="","",IFERROR(INDEX(แผนคลิป!$B:$B,MATCH(A151,แผนคลิป!$A:$A,0)),""))</f>
        <v/>
      </c>
      <c r="C151" s="17" t="n"/>
      <c r="D151" s="17" t="n"/>
      <c r="E151" s="17" t="n"/>
      <c r="F151" s="17" t="n"/>
      <c r="G151" s="17" t="n"/>
      <c r="H151" s="17" t="n"/>
      <c r="I151" s="17" t="n"/>
    </row>
    <row r="152">
      <c r="A152" s="17" t="n"/>
      <c r="B152" s="8">
        <f>IF(A152="","",IFERROR(INDEX(แผนคลิป!$B:$B,MATCH(A152,แผนคลิป!$A:$A,0)),""))</f>
        <v/>
      </c>
      <c r="C152" s="17" t="n"/>
      <c r="D152" s="17" t="n"/>
      <c r="E152" s="17" t="n"/>
      <c r="F152" s="17" t="n"/>
      <c r="G152" s="17" t="n"/>
      <c r="H152" s="17" t="n"/>
      <c r="I152" s="17" t="n"/>
    </row>
    <row r="153">
      <c r="A153" s="17" t="n"/>
      <c r="B153" s="8">
        <f>IF(A153="","",IFERROR(INDEX(แผนคลิป!$B:$B,MATCH(A153,แผนคลิป!$A:$A,0)),""))</f>
        <v/>
      </c>
      <c r="C153" s="17" t="n"/>
      <c r="D153" s="17" t="n"/>
      <c r="E153" s="17" t="n"/>
      <c r="F153" s="17" t="n"/>
      <c r="G153" s="17" t="n"/>
      <c r="H153" s="17" t="n"/>
      <c r="I153" s="17" t="n"/>
    </row>
    <row r="154">
      <c r="A154" s="17" t="n"/>
      <c r="B154" s="8">
        <f>IF(A154="","",IFERROR(INDEX(แผนคลิป!$B:$B,MATCH(A154,แผนคลิป!$A:$A,0)),""))</f>
        <v/>
      </c>
      <c r="C154" s="17" t="n"/>
      <c r="D154" s="17" t="n"/>
      <c r="E154" s="17" t="n"/>
      <c r="F154" s="17" t="n"/>
      <c r="G154" s="17" t="n"/>
      <c r="H154" s="17" t="n"/>
      <c r="I154" s="17" t="n"/>
    </row>
    <row r="155">
      <c r="A155" s="17" t="n"/>
      <c r="B155" s="8">
        <f>IF(A155="","",IFERROR(INDEX(แผนคลิป!$B:$B,MATCH(A155,แผนคลิป!$A:$A,0)),""))</f>
        <v/>
      </c>
      <c r="C155" s="17" t="n"/>
      <c r="D155" s="17" t="n"/>
      <c r="E155" s="17" t="n"/>
      <c r="F155" s="17" t="n"/>
      <c r="G155" s="17" t="n"/>
      <c r="H155" s="17" t="n"/>
      <c r="I155" s="17" t="n"/>
    </row>
    <row r="156">
      <c r="A156" s="17" t="n"/>
      <c r="B156" s="8">
        <f>IF(A156="","",IFERROR(INDEX(แผนคลิป!$B:$B,MATCH(A156,แผนคลิป!$A:$A,0)),""))</f>
        <v/>
      </c>
      <c r="C156" s="17" t="n"/>
      <c r="D156" s="17" t="n"/>
      <c r="E156" s="17" t="n"/>
      <c r="F156" s="17" t="n"/>
      <c r="G156" s="17" t="n"/>
      <c r="H156" s="17" t="n"/>
      <c r="I156" s="17" t="n"/>
    </row>
    <row r="157">
      <c r="A157" s="17" t="n"/>
      <c r="B157" s="8">
        <f>IF(A157="","",IFERROR(INDEX(แผนคลิป!$B:$B,MATCH(A157,แผนคลิป!$A:$A,0)),""))</f>
        <v/>
      </c>
      <c r="C157" s="17" t="n"/>
      <c r="D157" s="17" t="n"/>
      <c r="E157" s="17" t="n"/>
      <c r="F157" s="17" t="n"/>
      <c r="G157" s="17" t="n"/>
      <c r="H157" s="17" t="n"/>
      <c r="I157" s="17" t="n"/>
    </row>
    <row r="158">
      <c r="A158" s="17" t="n"/>
      <c r="B158" s="8">
        <f>IF(A158="","",IFERROR(INDEX(แผนคลิป!$B:$B,MATCH(A158,แผนคลิป!$A:$A,0)),""))</f>
        <v/>
      </c>
      <c r="C158" s="17" t="n"/>
      <c r="D158" s="17" t="n"/>
      <c r="E158" s="17" t="n"/>
      <c r="F158" s="17" t="n"/>
      <c r="G158" s="17" t="n"/>
      <c r="H158" s="17" t="n"/>
      <c r="I158" s="17" t="n"/>
    </row>
    <row r="159">
      <c r="A159" s="17" t="n"/>
      <c r="B159" s="8">
        <f>IF(A159="","",IFERROR(INDEX(แผนคลิป!$B:$B,MATCH(A159,แผนคลิป!$A:$A,0)),""))</f>
        <v/>
      </c>
      <c r="C159" s="17" t="n"/>
      <c r="D159" s="17" t="n"/>
      <c r="E159" s="17" t="n"/>
      <c r="F159" s="17" t="n"/>
      <c r="G159" s="17" t="n"/>
      <c r="H159" s="17" t="n"/>
      <c r="I159" s="17" t="n"/>
    </row>
    <row r="160">
      <c r="A160" s="17" t="n"/>
      <c r="B160" s="8">
        <f>IF(A160="","",IFERROR(INDEX(แผนคลิป!$B:$B,MATCH(A160,แผนคลิป!$A:$A,0)),""))</f>
        <v/>
      </c>
      <c r="C160" s="17" t="n"/>
      <c r="D160" s="17" t="n"/>
      <c r="E160" s="17" t="n"/>
      <c r="F160" s="17" t="n"/>
      <c r="G160" s="17" t="n"/>
      <c r="H160" s="17" t="n"/>
      <c r="I160" s="17" t="n"/>
    </row>
    <row r="161">
      <c r="A161" s="17" t="n"/>
      <c r="B161" s="8">
        <f>IF(A161="","",IFERROR(INDEX(แผนคลิป!$B:$B,MATCH(A161,แผนคลิป!$A:$A,0)),""))</f>
        <v/>
      </c>
      <c r="C161" s="17" t="n"/>
      <c r="D161" s="17" t="n"/>
      <c r="E161" s="17" t="n"/>
      <c r="F161" s="17" t="n"/>
      <c r="G161" s="17" t="n"/>
      <c r="H161" s="17" t="n"/>
      <c r="I161" s="17" t="n"/>
    </row>
    <row r="162">
      <c r="A162" s="17" t="n"/>
      <c r="B162" s="8">
        <f>IF(A162="","",IFERROR(INDEX(แผนคลิป!$B:$B,MATCH(A162,แผนคลิป!$A:$A,0)),""))</f>
        <v/>
      </c>
      <c r="C162" s="17" t="n"/>
      <c r="D162" s="17" t="n"/>
      <c r="E162" s="17" t="n"/>
      <c r="F162" s="17" t="n"/>
      <c r="G162" s="17" t="n"/>
      <c r="H162" s="17" t="n"/>
      <c r="I162" s="17" t="n"/>
    </row>
    <row r="163">
      <c r="A163" s="17" t="n"/>
      <c r="B163" s="8">
        <f>IF(A163="","",IFERROR(INDEX(แผนคลิป!$B:$B,MATCH(A163,แผนคลิป!$A:$A,0)),""))</f>
        <v/>
      </c>
      <c r="C163" s="17" t="n"/>
      <c r="D163" s="17" t="n"/>
      <c r="E163" s="17" t="n"/>
      <c r="F163" s="17" t="n"/>
      <c r="G163" s="17" t="n"/>
      <c r="H163" s="17" t="n"/>
      <c r="I163" s="17" t="n"/>
    </row>
    <row r="164">
      <c r="A164" s="17" t="n"/>
      <c r="B164" s="8">
        <f>IF(A164="","",IFERROR(INDEX(แผนคลิป!$B:$B,MATCH(A164,แผนคลิป!$A:$A,0)),""))</f>
        <v/>
      </c>
      <c r="C164" s="17" t="n"/>
      <c r="D164" s="17" t="n"/>
      <c r="E164" s="17" t="n"/>
      <c r="F164" s="17" t="n"/>
      <c r="G164" s="17" t="n"/>
      <c r="H164" s="17" t="n"/>
      <c r="I164" s="17" t="n"/>
    </row>
    <row r="165">
      <c r="A165" s="17" t="n"/>
      <c r="B165" s="8">
        <f>IF(A165="","",IFERROR(INDEX(แผนคลิป!$B:$B,MATCH(A165,แผนคลิป!$A:$A,0)),""))</f>
        <v/>
      </c>
      <c r="C165" s="17" t="n"/>
      <c r="D165" s="17" t="n"/>
      <c r="E165" s="17" t="n"/>
      <c r="F165" s="17" t="n"/>
      <c r="G165" s="17" t="n"/>
      <c r="H165" s="17" t="n"/>
      <c r="I165" s="17" t="n"/>
    </row>
    <row r="166">
      <c r="A166" s="17" t="n"/>
      <c r="B166" s="8">
        <f>IF(A166="","",IFERROR(INDEX(แผนคลิป!$B:$B,MATCH(A166,แผนคลิป!$A:$A,0)),""))</f>
        <v/>
      </c>
      <c r="C166" s="17" t="n"/>
      <c r="D166" s="17" t="n"/>
      <c r="E166" s="17" t="n"/>
      <c r="F166" s="17" t="n"/>
      <c r="G166" s="17" t="n"/>
      <c r="H166" s="17" t="n"/>
      <c r="I166" s="17" t="n"/>
    </row>
    <row r="167">
      <c r="A167" s="17" t="n"/>
      <c r="B167" s="8">
        <f>IF(A167="","",IFERROR(INDEX(แผนคลิป!$B:$B,MATCH(A167,แผนคลิป!$A:$A,0)),""))</f>
        <v/>
      </c>
      <c r="C167" s="17" t="n"/>
      <c r="D167" s="17" t="n"/>
      <c r="E167" s="17" t="n"/>
      <c r="F167" s="17" t="n"/>
      <c r="G167" s="17" t="n"/>
      <c r="H167" s="17" t="n"/>
      <c r="I167" s="17" t="n"/>
    </row>
    <row r="168">
      <c r="A168" s="17" t="n"/>
      <c r="B168" s="8">
        <f>IF(A168="","",IFERROR(INDEX(แผนคลิป!$B:$B,MATCH(A168,แผนคลิป!$A:$A,0)),""))</f>
        <v/>
      </c>
      <c r="C168" s="17" t="n"/>
      <c r="D168" s="17" t="n"/>
      <c r="E168" s="17" t="n"/>
      <c r="F168" s="17" t="n"/>
      <c r="G168" s="17" t="n"/>
      <c r="H168" s="17" t="n"/>
      <c r="I168" s="17" t="n"/>
    </row>
    <row r="169">
      <c r="A169" s="17" t="n"/>
      <c r="B169" s="8">
        <f>IF(A169="","",IFERROR(INDEX(แผนคลิป!$B:$B,MATCH(A169,แผนคลิป!$A:$A,0)),""))</f>
        <v/>
      </c>
      <c r="C169" s="17" t="n"/>
      <c r="D169" s="17" t="n"/>
      <c r="E169" s="17" t="n"/>
      <c r="F169" s="17" t="n"/>
      <c r="G169" s="17" t="n"/>
      <c r="H169" s="17" t="n"/>
      <c r="I169" s="17" t="n"/>
    </row>
    <row r="170">
      <c r="A170" s="17" t="n"/>
      <c r="B170" s="8">
        <f>IF(A170="","",IFERROR(INDEX(แผนคลิป!$B:$B,MATCH(A170,แผนคลิป!$A:$A,0)),""))</f>
        <v/>
      </c>
      <c r="C170" s="17" t="n"/>
      <c r="D170" s="17" t="n"/>
      <c r="E170" s="17" t="n"/>
      <c r="F170" s="17" t="n"/>
      <c r="G170" s="17" t="n"/>
      <c r="H170" s="17" t="n"/>
      <c r="I170" s="17" t="n"/>
    </row>
    <row r="171">
      <c r="A171" s="17" t="n"/>
      <c r="B171" s="8">
        <f>IF(A171="","",IFERROR(INDEX(แผนคลิป!$B:$B,MATCH(A171,แผนคลิป!$A:$A,0)),""))</f>
        <v/>
      </c>
      <c r="C171" s="17" t="n"/>
      <c r="D171" s="17" t="n"/>
      <c r="E171" s="17" t="n"/>
      <c r="F171" s="17" t="n"/>
      <c r="G171" s="17" t="n"/>
      <c r="H171" s="17" t="n"/>
      <c r="I171" s="17" t="n"/>
    </row>
    <row r="172">
      <c r="A172" s="17" t="n"/>
      <c r="B172" s="8">
        <f>IF(A172="","",IFERROR(INDEX(แผนคลิป!$B:$B,MATCH(A172,แผนคลิป!$A:$A,0)),""))</f>
        <v/>
      </c>
      <c r="C172" s="17" t="n"/>
      <c r="D172" s="17" t="n"/>
      <c r="E172" s="17" t="n"/>
      <c r="F172" s="17" t="n"/>
      <c r="G172" s="17" t="n"/>
      <c r="H172" s="17" t="n"/>
      <c r="I172" s="17" t="n"/>
    </row>
    <row r="173">
      <c r="A173" s="17" t="n"/>
      <c r="B173" s="8">
        <f>IF(A173="","",IFERROR(INDEX(แผนคลิป!$B:$B,MATCH(A173,แผนคลิป!$A:$A,0)),""))</f>
        <v/>
      </c>
      <c r="C173" s="17" t="n"/>
      <c r="D173" s="17" t="n"/>
      <c r="E173" s="17" t="n"/>
      <c r="F173" s="17" t="n"/>
      <c r="G173" s="17" t="n"/>
      <c r="H173" s="17" t="n"/>
      <c r="I173" s="17" t="n"/>
    </row>
    <row r="174">
      <c r="A174" s="17" t="n"/>
      <c r="B174" s="8">
        <f>IF(A174="","",IFERROR(INDEX(แผนคลิป!$B:$B,MATCH(A174,แผนคลิป!$A:$A,0)),""))</f>
        <v/>
      </c>
      <c r="C174" s="17" t="n"/>
      <c r="D174" s="17" t="n"/>
      <c r="E174" s="17" t="n"/>
      <c r="F174" s="17" t="n"/>
      <c r="G174" s="17" t="n"/>
      <c r="H174" s="17" t="n"/>
      <c r="I174" s="17" t="n"/>
    </row>
    <row r="175">
      <c r="A175" s="17" t="n"/>
      <c r="B175" s="8">
        <f>IF(A175="","",IFERROR(INDEX(แผนคลิป!$B:$B,MATCH(A175,แผนคลิป!$A:$A,0)),""))</f>
        <v/>
      </c>
      <c r="C175" s="17" t="n"/>
      <c r="D175" s="17" t="n"/>
      <c r="E175" s="17" t="n"/>
      <c r="F175" s="17" t="n"/>
      <c r="G175" s="17" t="n"/>
      <c r="H175" s="17" t="n"/>
      <c r="I175" s="17" t="n"/>
    </row>
    <row r="176">
      <c r="A176" s="17" t="n"/>
      <c r="B176" s="8">
        <f>IF(A176="","",IFERROR(INDEX(แผนคลิป!$B:$B,MATCH(A176,แผนคลิป!$A:$A,0)),""))</f>
        <v/>
      </c>
      <c r="C176" s="17" t="n"/>
      <c r="D176" s="17" t="n"/>
      <c r="E176" s="17" t="n"/>
      <c r="F176" s="17" t="n"/>
      <c r="G176" s="17" t="n"/>
      <c r="H176" s="17" t="n"/>
      <c r="I176" s="17" t="n"/>
    </row>
    <row r="177">
      <c r="A177" s="17" t="n"/>
      <c r="B177" s="8">
        <f>IF(A177="","",IFERROR(INDEX(แผนคลิป!$B:$B,MATCH(A177,แผนคลิป!$A:$A,0)),""))</f>
        <v/>
      </c>
      <c r="C177" s="17" t="n"/>
      <c r="D177" s="17" t="n"/>
      <c r="E177" s="17" t="n"/>
      <c r="F177" s="17" t="n"/>
      <c r="G177" s="17" t="n"/>
      <c r="H177" s="17" t="n"/>
      <c r="I177" s="17" t="n"/>
    </row>
    <row r="178">
      <c r="A178" s="17" t="n"/>
      <c r="B178" s="8">
        <f>IF(A178="","",IFERROR(INDEX(แผนคลิป!$B:$B,MATCH(A178,แผนคลิป!$A:$A,0)),""))</f>
        <v/>
      </c>
      <c r="C178" s="17" t="n"/>
      <c r="D178" s="17" t="n"/>
      <c r="E178" s="17" t="n"/>
      <c r="F178" s="17" t="n"/>
      <c r="G178" s="17" t="n"/>
      <c r="H178" s="17" t="n"/>
      <c r="I178" s="17" t="n"/>
    </row>
    <row r="179">
      <c r="A179" s="17" t="n"/>
      <c r="B179" s="8">
        <f>IF(A179="","",IFERROR(INDEX(แผนคลิป!$B:$B,MATCH(A179,แผนคลิป!$A:$A,0)),""))</f>
        <v/>
      </c>
      <c r="C179" s="17" t="n"/>
      <c r="D179" s="17" t="n"/>
      <c r="E179" s="17" t="n"/>
      <c r="F179" s="17" t="n"/>
      <c r="G179" s="17" t="n"/>
      <c r="H179" s="17" t="n"/>
      <c r="I179" s="17" t="n"/>
    </row>
    <row r="180">
      <c r="A180" s="17" t="n"/>
      <c r="B180" s="8">
        <f>IF(A180="","",IFERROR(INDEX(แผนคลิป!$B:$B,MATCH(A180,แผนคลิป!$A:$A,0)),""))</f>
        <v/>
      </c>
      <c r="C180" s="17" t="n"/>
      <c r="D180" s="17" t="n"/>
      <c r="E180" s="17" t="n"/>
      <c r="F180" s="17" t="n"/>
      <c r="G180" s="17" t="n"/>
      <c r="H180" s="17" t="n"/>
      <c r="I180" s="17" t="n"/>
    </row>
    <row r="181">
      <c r="A181" s="17" t="n"/>
      <c r="B181" s="8">
        <f>IF(A181="","",IFERROR(INDEX(แผนคลิป!$B:$B,MATCH(A181,แผนคลิป!$A:$A,0)),""))</f>
        <v/>
      </c>
      <c r="C181" s="17" t="n"/>
      <c r="D181" s="17" t="n"/>
      <c r="E181" s="17" t="n"/>
      <c r="F181" s="17" t="n"/>
      <c r="G181" s="17" t="n"/>
      <c r="H181" s="17" t="n"/>
      <c r="I181" s="17" t="n"/>
    </row>
    <row r="182">
      <c r="A182" s="17" t="n"/>
      <c r="B182" s="8">
        <f>IF(A182="","",IFERROR(INDEX(แผนคลิป!$B:$B,MATCH(A182,แผนคลิป!$A:$A,0)),""))</f>
        <v/>
      </c>
      <c r="C182" s="17" t="n"/>
      <c r="D182" s="17" t="n"/>
      <c r="E182" s="17" t="n"/>
      <c r="F182" s="17" t="n"/>
      <c r="G182" s="17" t="n"/>
      <c r="H182" s="17" t="n"/>
      <c r="I182" s="17" t="n"/>
    </row>
    <row r="183">
      <c r="A183" s="17" t="n"/>
      <c r="B183" s="8">
        <f>IF(A183="","",IFERROR(INDEX(แผนคลิป!$B:$B,MATCH(A183,แผนคลิป!$A:$A,0)),""))</f>
        <v/>
      </c>
      <c r="C183" s="17" t="n"/>
      <c r="D183" s="17" t="n"/>
      <c r="E183" s="17" t="n"/>
      <c r="F183" s="17" t="n"/>
      <c r="G183" s="17" t="n"/>
      <c r="H183" s="17" t="n"/>
      <c r="I183" s="17" t="n"/>
    </row>
    <row r="184">
      <c r="A184" s="17" t="n"/>
      <c r="B184" s="8">
        <f>IF(A184="","",IFERROR(INDEX(แผนคลิป!$B:$B,MATCH(A184,แผนคลิป!$A:$A,0)),""))</f>
        <v/>
      </c>
      <c r="C184" s="17" t="n"/>
      <c r="D184" s="17" t="n"/>
      <c r="E184" s="17" t="n"/>
      <c r="F184" s="17" t="n"/>
      <c r="G184" s="17" t="n"/>
      <c r="H184" s="17" t="n"/>
      <c r="I184" s="17" t="n"/>
    </row>
    <row r="185">
      <c r="A185" s="17" t="n"/>
      <c r="B185" s="8">
        <f>IF(A185="","",IFERROR(INDEX(แผนคลิป!$B:$B,MATCH(A185,แผนคลิป!$A:$A,0)),""))</f>
        <v/>
      </c>
      <c r="C185" s="17" t="n"/>
      <c r="D185" s="17" t="n"/>
      <c r="E185" s="17" t="n"/>
      <c r="F185" s="17" t="n"/>
      <c r="G185" s="17" t="n"/>
      <c r="H185" s="17" t="n"/>
      <c r="I185" s="17" t="n"/>
    </row>
    <row r="186">
      <c r="A186" s="17" t="n"/>
      <c r="B186" s="8">
        <f>IF(A186="","",IFERROR(INDEX(แผนคลิป!$B:$B,MATCH(A186,แผนคลิป!$A:$A,0)),""))</f>
        <v/>
      </c>
      <c r="C186" s="17" t="n"/>
      <c r="D186" s="17" t="n"/>
      <c r="E186" s="17" t="n"/>
      <c r="F186" s="17" t="n"/>
      <c r="G186" s="17" t="n"/>
      <c r="H186" s="17" t="n"/>
      <c r="I186" s="17" t="n"/>
    </row>
    <row r="187">
      <c r="A187" s="17" t="n"/>
      <c r="B187" s="8">
        <f>IF(A187="","",IFERROR(INDEX(แผนคลิป!$B:$B,MATCH(A187,แผนคลิป!$A:$A,0)),""))</f>
        <v/>
      </c>
      <c r="C187" s="17" t="n"/>
      <c r="D187" s="17" t="n"/>
      <c r="E187" s="17" t="n"/>
      <c r="F187" s="17" t="n"/>
      <c r="G187" s="17" t="n"/>
      <c r="H187" s="17" t="n"/>
      <c r="I187" s="17" t="n"/>
    </row>
    <row r="188">
      <c r="A188" s="17" t="n"/>
      <c r="B188" s="8">
        <f>IF(A188="","",IFERROR(INDEX(แผนคลิป!$B:$B,MATCH(A188,แผนคลิป!$A:$A,0)),""))</f>
        <v/>
      </c>
      <c r="C188" s="17" t="n"/>
      <c r="D188" s="17" t="n"/>
      <c r="E188" s="17" t="n"/>
      <c r="F188" s="17" t="n"/>
      <c r="G188" s="17" t="n"/>
      <c r="H188" s="17" t="n"/>
      <c r="I188" s="17" t="n"/>
    </row>
    <row r="189">
      <c r="A189" s="17" t="n"/>
      <c r="B189" s="8">
        <f>IF(A189="","",IFERROR(INDEX(แผนคลิป!$B:$B,MATCH(A189,แผนคลิป!$A:$A,0)),""))</f>
        <v/>
      </c>
      <c r="C189" s="17" t="n"/>
      <c r="D189" s="17" t="n"/>
      <c r="E189" s="17" t="n"/>
      <c r="F189" s="17" t="n"/>
      <c r="G189" s="17" t="n"/>
      <c r="H189" s="17" t="n"/>
      <c r="I189" s="17" t="n"/>
    </row>
    <row r="190">
      <c r="A190" s="17" t="n"/>
      <c r="B190" s="8">
        <f>IF(A190="","",IFERROR(INDEX(แผนคลิป!$B:$B,MATCH(A190,แผนคลิป!$A:$A,0)),""))</f>
        <v/>
      </c>
      <c r="C190" s="17" t="n"/>
      <c r="D190" s="17" t="n"/>
      <c r="E190" s="17" t="n"/>
      <c r="F190" s="17" t="n"/>
      <c r="G190" s="17" t="n"/>
      <c r="H190" s="17" t="n"/>
      <c r="I190" s="17" t="n"/>
    </row>
    <row r="191">
      <c r="A191" s="17" t="n"/>
      <c r="B191" s="8">
        <f>IF(A191="","",IFERROR(INDEX(แผนคลิป!$B:$B,MATCH(A191,แผนคลิป!$A:$A,0)),""))</f>
        <v/>
      </c>
      <c r="C191" s="17" t="n"/>
      <c r="D191" s="17" t="n"/>
      <c r="E191" s="17" t="n"/>
      <c r="F191" s="17" t="n"/>
      <c r="G191" s="17" t="n"/>
      <c r="H191" s="17" t="n"/>
      <c r="I191" s="17" t="n"/>
    </row>
    <row r="192">
      <c r="A192" s="17" t="n"/>
      <c r="B192" s="8">
        <f>IF(A192="","",IFERROR(INDEX(แผนคลิป!$B:$B,MATCH(A192,แผนคลิป!$A:$A,0)),""))</f>
        <v/>
      </c>
      <c r="C192" s="17" t="n"/>
      <c r="D192" s="17" t="n"/>
      <c r="E192" s="17" t="n"/>
      <c r="F192" s="17" t="n"/>
      <c r="G192" s="17" t="n"/>
      <c r="H192" s="17" t="n"/>
      <c r="I192" s="17" t="n"/>
    </row>
    <row r="193">
      <c r="A193" s="17" t="n"/>
      <c r="B193" s="8">
        <f>IF(A193="","",IFERROR(INDEX(แผนคลิป!$B:$B,MATCH(A193,แผนคลิป!$A:$A,0)),""))</f>
        <v/>
      </c>
      <c r="C193" s="17" t="n"/>
      <c r="D193" s="17" t="n"/>
      <c r="E193" s="17" t="n"/>
      <c r="F193" s="17" t="n"/>
      <c r="G193" s="17" t="n"/>
      <c r="H193" s="17" t="n"/>
      <c r="I193" s="17" t="n"/>
    </row>
    <row r="194">
      <c r="A194" s="17" t="n"/>
      <c r="B194" s="8">
        <f>IF(A194="","",IFERROR(INDEX(แผนคลิป!$B:$B,MATCH(A194,แผนคลิป!$A:$A,0)),""))</f>
        <v/>
      </c>
      <c r="C194" s="17" t="n"/>
      <c r="D194" s="17" t="n"/>
      <c r="E194" s="17" t="n"/>
      <c r="F194" s="17" t="n"/>
      <c r="G194" s="17" t="n"/>
      <c r="H194" s="17" t="n"/>
      <c r="I194" s="17" t="n"/>
    </row>
    <row r="195">
      <c r="A195" s="17" t="n"/>
      <c r="B195" s="8">
        <f>IF(A195="","",IFERROR(INDEX(แผนคลิป!$B:$B,MATCH(A195,แผนคลิป!$A:$A,0)),""))</f>
        <v/>
      </c>
      <c r="C195" s="17" t="n"/>
      <c r="D195" s="17" t="n"/>
      <c r="E195" s="17" t="n"/>
      <c r="F195" s="17" t="n"/>
      <c r="G195" s="17" t="n"/>
      <c r="H195" s="17" t="n"/>
      <c r="I195" s="17" t="n"/>
    </row>
    <row r="196">
      <c r="A196" s="17" t="n"/>
      <c r="B196" s="8">
        <f>IF(A196="","",IFERROR(INDEX(แผนคลิป!$B:$B,MATCH(A196,แผนคลิป!$A:$A,0)),""))</f>
        <v/>
      </c>
      <c r="C196" s="17" t="n"/>
      <c r="D196" s="17" t="n"/>
      <c r="E196" s="17" t="n"/>
      <c r="F196" s="17" t="n"/>
      <c r="G196" s="17" t="n"/>
      <c r="H196" s="17" t="n"/>
      <c r="I196" s="17" t="n"/>
    </row>
    <row r="197">
      <c r="A197" s="17" t="n"/>
      <c r="B197" s="8">
        <f>IF(A197="","",IFERROR(INDEX(แผนคลิป!$B:$B,MATCH(A197,แผนคลิป!$A:$A,0)),""))</f>
        <v/>
      </c>
      <c r="C197" s="17" t="n"/>
      <c r="D197" s="17" t="n"/>
      <c r="E197" s="17" t="n"/>
      <c r="F197" s="17" t="n"/>
      <c r="G197" s="17" t="n"/>
      <c r="H197" s="17" t="n"/>
      <c r="I197" s="17" t="n"/>
    </row>
    <row r="198">
      <c r="A198" s="17" t="n"/>
      <c r="B198" s="8">
        <f>IF(A198="","",IFERROR(INDEX(แผนคลิป!$B:$B,MATCH(A198,แผนคลิป!$A:$A,0)),""))</f>
        <v/>
      </c>
      <c r="C198" s="17" t="n"/>
      <c r="D198" s="17" t="n"/>
      <c r="E198" s="17" t="n"/>
      <c r="F198" s="17" t="n"/>
      <c r="G198" s="17" t="n"/>
      <c r="H198" s="17" t="n"/>
      <c r="I198" s="17" t="n"/>
    </row>
    <row r="199">
      <c r="A199" s="17" t="n"/>
      <c r="B199" s="8">
        <f>IF(A199="","",IFERROR(INDEX(แผนคลิป!$B:$B,MATCH(A199,แผนคลิป!$A:$A,0)),""))</f>
        <v/>
      </c>
      <c r="C199" s="17" t="n"/>
      <c r="D199" s="17" t="n"/>
      <c r="E199" s="17" t="n"/>
      <c r="F199" s="17" t="n"/>
      <c r="G199" s="17" t="n"/>
      <c r="H199" s="17" t="n"/>
      <c r="I199" s="17" t="n"/>
    </row>
    <row r="200">
      <c r="A200" s="17" t="n"/>
      <c r="B200" s="8">
        <f>IF(A200="","",IFERROR(INDEX(แผนคลิป!$B:$B,MATCH(A200,แผนคลิป!$A:$A,0)),""))</f>
        <v/>
      </c>
      <c r="C200" s="17" t="n"/>
      <c r="D200" s="17" t="n"/>
      <c r="E200" s="17" t="n"/>
      <c r="F200" s="17" t="n"/>
      <c r="G200" s="17" t="n"/>
      <c r="H200" s="17" t="n"/>
      <c r="I200" s="17" t="n"/>
    </row>
    <row r="201">
      <c r="A201" s="17" t="n"/>
      <c r="B201" s="8">
        <f>IF(A201="","",IFERROR(INDEX(แผนคลิป!$B:$B,MATCH(A201,แผนคลิป!$A:$A,0)),""))</f>
        <v/>
      </c>
      <c r="C201" s="17" t="n"/>
      <c r="D201" s="17" t="n"/>
      <c r="E201" s="17" t="n"/>
      <c r="F201" s="17" t="n"/>
      <c r="G201" s="17" t="n"/>
      <c r="H201" s="17" t="n"/>
      <c r="I201" s="17" t="n"/>
    </row>
    <row r="202">
      <c r="A202" s="17" t="n"/>
      <c r="B202" s="8">
        <f>IF(A202="","",IFERROR(INDEX(แผนคลิป!$B:$B,MATCH(A202,แผนคลิป!$A:$A,0)),""))</f>
        <v/>
      </c>
      <c r="C202" s="17" t="n"/>
      <c r="D202" s="17" t="n"/>
      <c r="E202" s="17" t="n"/>
      <c r="F202" s="17" t="n"/>
      <c r="G202" s="17" t="n"/>
      <c r="H202" s="17" t="n"/>
      <c r="I202" s="17" t="n"/>
    </row>
    <row r="203">
      <c r="A203" s="17" t="n"/>
      <c r="B203" s="8">
        <f>IF(A203="","",IFERROR(INDEX(แผนคลิป!$B:$B,MATCH(A203,แผนคลิป!$A:$A,0)),""))</f>
        <v/>
      </c>
      <c r="C203" s="17" t="n"/>
      <c r="D203" s="17" t="n"/>
      <c r="E203" s="17" t="n"/>
      <c r="F203" s="17" t="n"/>
      <c r="G203" s="17" t="n"/>
      <c r="H203" s="17" t="n"/>
      <c r="I203" s="17" t="n"/>
    </row>
  </sheetData>
  <dataValidations count="3">
    <dataValidation sqref="C3:C203" showDropDown="0" showInputMessage="0" showErrorMessage="0" allowBlank="1" type="list">
      <formula1>=รายการ!$D$2:$D$3</formula1>
    </dataValidation>
    <dataValidation sqref="E3:E203" showDropDown="0" showInputMessage="0" showErrorMessage="0" allowBlank="1" type="list">
      <formula1>=รายการ!$A$2:$A$16</formula1>
    </dataValidation>
    <dataValidation sqref="H3:H203" showDropDown="0" showInputMessage="0" showErrorMessage="0" allowBlank="1" type="list">
      <formula1>=รายการ!$C$2:$C$3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7" customWidth="1" min="4" max="4"/>
    <col width="52" customWidth="1" min="5" max="5"/>
    <col width="14" customWidth="1" min="6" max="6"/>
    <col width="34" customWidth="1" min="7" max="7"/>
  </cols>
  <sheetData>
    <row r="1">
      <c r="A1" s="15" t="inlineStr">
        <is>
          <t>ตรวจคำแนะนำทุกข้อในรายงาน: เปิดคลิปดูว่าจริงไหม</t>
        </is>
      </c>
    </row>
    <row r="2" ht="34" customHeight="1">
      <c r="A2" s="16" t="inlineStr">
        <is>
          <t>คลิป</t>
        </is>
      </c>
      <c r="B2" s="16" t="inlineStr">
        <is>
          <t>โค้ช</t>
        </is>
      </c>
      <c r="C2" s="16" t="inlineStr">
        <is>
          <t>ส่วน</t>
        </is>
      </c>
      <c r="D2" s="16" t="inlineStr">
        <is>
          <t>ข้อที่</t>
        </is>
      </c>
      <c r="E2" s="16" t="inlineStr">
        <is>
          <t>คำแนะนำ (สรุปสั้น ๆ)</t>
        </is>
      </c>
      <c r="F2" s="16" t="inlineStr">
        <is>
          <t>ผลตรวจกับคลิป</t>
        </is>
      </c>
      <c r="G2" s="16" t="inlineStr">
        <is>
          <t>หมายเหตุ</t>
        </is>
      </c>
    </row>
    <row r="3">
      <c r="A3" s="19" t="inlineStr">
        <is>
          <t>ตัวอย่าง</t>
        </is>
      </c>
      <c r="B3" s="19" t="inlineStr">
        <is>
          <t>ในเครื่อง</t>
        </is>
      </c>
      <c r="C3" s="19" t="inlineStr">
        <is>
          <t>ควรแก้</t>
        </is>
      </c>
      <c r="D3" s="19" t="n">
        <v>1</v>
      </c>
      <c r="E3" s="19" t="inlineStr">
        <is>
          <t>ศีรษะก้มลง 81% ช่วงนานสุด 57–82 วิ</t>
        </is>
      </c>
      <c r="F3" s="19" t="inlineStr">
        <is>
          <t>จริง</t>
        </is>
      </c>
      <c r="G3" s="19" t="inlineStr"/>
    </row>
    <row r="4">
      <c r="A4" s="17" t="n"/>
      <c r="B4" s="17" t="n"/>
      <c r="C4" s="17" t="n"/>
      <c r="D4" s="17" t="n"/>
      <c r="E4" s="17" t="n"/>
      <c r="F4" s="17" t="n"/>
      <c r="G4" s="17" t="n"/>
    </row>
    <row r="5">
      <c r="A5" s="17" t="n"/>
      <c r="B5" s="17" t="n"/>
      <c r="C5" s="17" t="n"/>
      <c r="D5" s="17" t="n"/>
      <c r="E5" s="17" t="n"/>
      <c r="F5" s="17" t="n"/>
      <c r="G5" s="17" t="n"/>
    </row>
    <row r="6">
      <c r="A6" s="17" t="n"/>
      <c r="B6" s="17" t="n"/>
      <c r="C6" s="17" t="n"/>
      <c r="D6" s="17" t="n"/>
      <c r="E6" s="17" t="n"/>
      <c r="F6" s="17" t="n"/>
      <c r="G6" s="17" t="n"/>
    </row>
    <row r="7">
      <c r="A7" s="17" t="n"/>
      <c r="B7" s="17" t="n"/>
      <c r="C7" s="17" t="n"/>
      <c r="D7" s="17" t="n"/>
      <c r="E7" s="17" t="n"/>
      <c r="F7" s="17" t="n"/>
      <c r="G7" s="17" t="n"/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7" t="n"/>
      <c r="B9" s="17" t="n"/>
      <c r="C9" s="17" t="n"/>
      <c r="D9" s="17" t="n"/>
      <c r="E9" s="17" t="n"/>
      <c r="F9" s="17" t="n"/>
      <c r="G9" s="17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7" t="n"/>
      <c r="B11" s="17" t="n"/>
      <c r="C11" s="17" t="n"/>
      <c r="D11" s="17" t="n"/>
      <c r="E11" s="17" t="n"/>
      <c r="F11" s="17" t="n"/>
      <c r="G11" s="17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7" t="n"/>
      <c r="B13" s="17" t="n"/>
      <c r="C13" s="17" t="n"/>
      <c r="D13" s="17" t="n"/>
      <c r="E13" s="17" t="n"/>
      <c r="F13" s="17" t="n"/>
      <c r="G13" s="17" t="n"/>
    </row>
    <row r="14">
      <c r="A14" s="17" t="n"/>
      <c r="B14" s="17" t="n"/>
      <c r="C14" s="17" t="n"/>
      <c r="D14" s="17" t="n"/>
      <c r="E14" s="17" t="n"/>
      <c r="F14" s="17" t="n"/>
      <c r="G14" s="17" t="n"/>
    </row>
    <row r="15">
      <c r="A15" s="17" t="n"/>
      <c r="B15" s="17" t="n"/>
      <c r="C15" s="17" t="n"/>
      <c r="D15" s="17" t="n"/>
      <c r="E15" s="17" t="n"/>
      <c r="F15" s="17" t="n"/>
      <c r="G15" s="17" t="n"/>
    </row>
    <row r="16">
      <c r="A16" s="17" t="n"/>
      <c r="B16" s="17" t="n"/>
      <c r="C16" s="17" t="n"/>
      <c r="D16" s="17" t="n"/>
      <c r="E16" s="17" t="n"/>
      <c r="F16" s="17" t="n"/>
      <c r="G16" s="17" t="n"/>
    </row>
    <row r="17">
      <c r="A17" s="17" t="n"/>
      <c r="B17" s="17" t="n"/>
      <c r="C17" s="17" t="n"/>
      <c r="D17" s="17" t="n"/>
      <c r="E17" s="17" t="n"/>
      <c r="F17" s="17" t="n"/>
      <c r="G17" s="17" t="n"/>
    </row>
    <row r="18">
      <c r="A18" s="17" t="n"/>
      <c r="B18" s="17" t="n"/>
      <c r="C18" s="17" t="n"/>
      <c r="D18" s="17" t="n"/>
      <c r="E18" s="17" t="n"/>
      <c r="F18" s="17" t="n"/>
      <c r="G18" s="17" t="n"/>
    </row>
    <row r="19">
      <c r="A19" s="17" t="n"/>
      <c r="B19" s="17" t="n"/>
      <c r="C19" s="17" t="n"/>
      <c r="D19" s="17" t="n"/>
      <c r="E19" s="17" t="n"/>
      <c r="F19" s="17" t="n"/>
      <c r="G19" s="17" t="n"/>
    </row>
    <row r="20">
      <c r="A20" s="17" t="n"/>
      <c r="B20" s="17" t="n"/>
      <c r="C20" s="17" t="n"/>
      <c r="D20" s="17" t="n"/>
      <c r="E20" s="17" t="n"/>
      <c r="F20" s="17" t="n"/>
      <c r="G20" s="17" t="n"/>
    </row>
    <row r="21">
      <c r="A21" s="17" t="n"/>
      <c r="B21" s="17" t="n"/>
      <c r="C21" s="17" t="n"/>
      <c r="D21" s="17" t="n"/>
      <c r="E21" s="17" t="n"/>
      <c r="F21" s="17" t="n"/>
      <c r="G21" s="17" t="n"/>
    </row>
    <row r="22">
      <c r="A22" s="17" t="n"/>
      <c r="B22" s="17" t="n"/>
      <c r="C22" s="17" t="n"/>
      <c r="D22" s="17" t="n"/>
      <c r="E22" s="17" t="n"/>
      <c r="F22" s="17" t="n"/>
      <c r="G22" s="17" t="n"/>
    </row>
    <row r="23">
      <c r="A23" s="17" t="n"/>
      <c r="B23" s="17" t="n"/>
      <c r="C23" s="17" t="n"/>
      <c r="D23" s="17" t="n"/>
      <c r="E23" s="17" t="n"/>
      <c r="F23" s="17" t="n"/>
      <c r="G23" s="17" t="n"/>
    </row>
    <row r="24">
      <c r="A24" s="17" t="n"/>
      <c r="B24" s="17" t="n"/>
      <c r="C24" s="17" t="n"/>
      <c r="D24" s="17" t="n"/>
      <c r="E24" s="17" t="n"/>
      <c r="F24" s="17" t="n"/>
      <c r="G24" s="17" t="n"/>
    </row>
    <row r="25">
      <c r="A25" s="17" t="n"/>
      <c r="B25" s="17" t="n"/>
      <c r="C25" s="17" t="n"/>
      <c r="D25" s="17" t="n"/>
      <c r="E25" s="17" t="n"/>
      <c r="F25" s="17" t="n"/>
      <c r="G25" s="17" t="n"/>
    </row>
    <row r="26">
      <c r="A26" s="17" t="n"/>
      <c r="B26" s="17" t="n"/>
      <c r="C26" s="17" t="n"/>
      <c r="D26" s="17" t="n"/>
      <c r="E26" s="17" t="n"/>
      <c r="F26" s="17" t="n"/>
      <c r="G26" s="17" t="n"/>
    </row>
    <row r="27">
      <c r="A27" s="17" t="n"/>
      <c r="B27" s="17" t="n"/>
      <c r="C27" s="17" t="n"/>
      <c r="D27" s="17" t="n"/>
      <c r="E27" s="17" t="n"/>
      <c r="F27" s="17" t="n"/>
      <c r="G27" s="17" t="n"/>
    </row>
    <row r="28">
      <c r="A28" s="17" t="n"/>
      <c r="B28" s="17" t="n"/>
      <c r="C28" s="17" t="n"/>
      <c r="D28" s="17" t="n"/>
      <c r="E28" s="17" t="n"/>
      <c r="F28" s="17" t="n"/>
      <c r="G28" s="17" t="n"/>
    </row>
    <row r="29">
      <c r="A29" s="17" t="n"/>
      <c r="B29" s="17" t="n"/>
      <c r="C29" s="17" t="n"/>
      <c r="D29" s="17" t="n"/>
      <c r="E29" s="17" t="n"/>
      <c r="F29" s="17" t="n"/>
      <c r="G29" s="17" t="n"/>
    </row>
    <row r="30">
      <c r="A30" s="17" t="n"/>
      <c r="B30" s="17" t="n"/>
      <c r="C30" s="17" t="n"/>
      <c r="D30" s="17" t="n"/>
      <c r="E30" s="17" t="n"/>
      <c r="F30" s="17" t="n"/>
      <c r="G30" s="17" t="n"/>
    </row>
    <row r="31">
      <c r="A31" s="17" t="n"/>
      <c r="B31" s="17" t="n"/>
      <c r="C31" s="17" t="n"/>
      <c r="D31" s="17" t="n"/>
      <c r="E31" s="17" t="n"/>
      <c r="F31" s="17" t="n"/>
      <c r="G31" s="17" t="n"/>
    </row>
    <row r="32">
      <c r="A32" s="17" t="n"/>
      <c r="B32" s="17" t="n"/>
      <c r="C32" s="17" t="n"/>
      <c r="D32" s="17" t="n"/>
      <c r="E32" s="17" t="n"/>
      <c r="F32" s="17" t="n"/>
      <c r="G32" s="17" t="n"/>
    </row>
    <row r="33">
      <c r="A33" s="17" t="n"/>
      <c r="B33" s="17" t="n"/>
      <c r="C33" s="17" t="n"/>
      <c r="D33" s="17" t="n"/>
      <c r="E33" s="17" t="n"/>
      <c r="F33" s="17" t="n"/>
      <c r="G33" s="17" t="n"/>
    </row>
    <row r="34">
      <c r="A34" s="17" t="n"/>
      <c r="B34" s="17" t="n"/>
      <c r="C34" s="17" t="n"/>
      <c r="D34" s="17" t="n"/>
      <c r="E34" s="17" t="n"/>
      <c r="F34" s="17" t="n"/>
      <c r="G34" s="17" t="n"/>
    </row>
    <row r="35">
      <c r="A35" s="17" t="n"/>
      <c r="B35" s="17" t="n"/>
      <c r="C35" s="17" t="n"/>
      <c r="D35" s="17" t="n"/>
      <c r="E35" s="17" t="n"/>
      <c r="F35" s="17" t="n"/>
      <c r="G35" s="17" t="n"/>
    </row>
    <row r="36">
      <c r="A36" s="17" t="n"/>
      <c r="B36" s="17" t="n"/>
      <c r="C36" s="17" t="n"/>
      <c r="D36" s="17" t="n"/>
      <c r="E36" s="17" t="n"/>
      <c r="F36" s="17" t="n"/>
      <c r="G36" s="17" t="n"/>
    </row>
    <row r="37">
      <c r="A37" s="17" t="n"/>
      <c r="B37" s="17" t="n"/>
      <c r="C37" s="17" t="n"/>
      <c r="D37" s="17" t="n"/>
      <c r="E37" s="17" t="n"/>
      <c r="F37" s="17" t="n"/>
      <c r="G37" s="17" t="n"/>
    </row>
    <row r="38">
      <c r="A38" s="17" t="n"/>
      <c r="B38" s="17" t="n"/>
      <c r="C38" s="17" t="n"/>
      <c r="D38" s="17" t="n"/>
      <c r="E38" s="17" t="n"/>
      <c r="F38" s="17" t="n"/>
      <c r="G38" s="17" t="n"/>
    </row>
    <row r="39">
      <c r="A39" s="17" t="n"/>
      <c r="B39" s="17" t="n"/>
      <c r="C39" s="17" t="n"/>
      <c r="D39" s="17" t="n"/>
      <c r="E39" s="17" t="n"/>
      <c r="F39" s="17" t="n"/>
      <c r="G39" s="17" t="n"/>
    </row>
    <row r="40">
      <c r="A40" s="17" t="n"/>
      <c r="B40" s="17" t="n"/>
      <c r="C40" s="17" t="n"/>
      <c r="D40" s="17" t="n"/>
      <c r="E40" s="17" t="n"/>
      <c r="F40" s="17" t="n"/>
      <c r="G40" s="17" t="n"/>
    </row>
    <row r="41">
      <c r="A41" s="17" t="n"/>
      <c r="B41" s="17" t="n"/>
      <c r="C41" s="17" t="n"/>
      <c r="D41" s="17" t="n"/>
      <c r="E41" s="17" t="n"/>
      <c r="F41" s="17" t="n"/>
      <c r="G41" s="17" t="n"/>
    </row>
    <row r="42">
      <c r="A42" s="17" t="n"/>
      <c r="B42" s="17" t="n"/>
      <c r="C42" s="17" t="n"/>
      <c r="D42" s="17" t="n"/>
      <c r="E42" s="17" t="n"/>
      <c r="F42" s="17" t="n"/>
      <c r="G42" s="17" t="n"/>
    </row>
    <row r="43">
      <c r="A43" s="17" t="n"/>
      <c r="B43" s="17" t="n"/>
      <c r="C43" s="17" t="n"/>
      <c r="D43" s="17" t="n"/>
      <c r="E43" s="17" t="n"/>
      <c r="F43" s="17" t="n"/>
      <c r="G43" s="17" t="n"/>
    </row>
    <row r="44">
      <c r="A44" s="17" t="n"/>
      <c r="B44" s="17" t="n"/>
      <c r="C44" s="17" t="n"/>
      <c r="D44" s="17" t="n"/>
      <c r="E44" s="17" t="n"/>
      <c r="F44" s="17" t="n"/>
      <c r="G44" s="17" t="n"/>
    </row>
    <row r="45">
      <c r="A45" s="17" t="n"/>
      <c r="B45" s="17" t="n"/>
      <c r="C45" s="17" t="n"/>
      <c r="D45" s="17" t="n"/>
      <c r="E45" s="17" t="n"/>
      <c r="F45" s="17" t="n"/>
      <c r="G45" s="17" t="n"/>
    </row>
    <row r="46">
      <c r="A46" s="17" t="n"/>
      <c r="B46" s="17" t="n"/>
      <c r="C46" s="17" t="n"/>
      <c r="D46" s="17" t="n"/>
      <c r="E46" s="17" t="n"/>
      <c r="F46" s="17" t="n"/>
      <c r="G46" s="17" t="n"/>
    </row>
    <row r="47">
      <c r="A47" s="17" t="n"/>
      <c r="B47" s="17" t="n"/>
      <c r="C47" s="17" t="n"/>
      <c r="D47" s="17" t="n"/>
      <c r="E47" s="17" t="n"/>
      <c r="F47" s="17" t="n"/>
      <c r="G47" s="17" t="n"/>
    </row>
    <row r="48">
      <c r="A48" s="17" t="n"/>
      <c r="B48" s="17" t="n"/>
      <c r="C48" s="17" t="n"/>
      <c r="D48" s="17" t="n"/>
      <c r="E48" s="17" t="n"/>
      <c r="F48" s="17" t="n"/>
      <c r="G48" s="17" t="n"/>
    </row>
    <row r="49">
      <c r="A49" s="17" t="n"/>
      <c r="B49" s="17" t="n"/>
      <c r="C49" s="17" t="n"/>
      <c r="D49" s="17" t="n"/>
      <c r="E49" s="17" t="n"/>
      <c r="F49" s="17" t="n"/>
      <c r="G49" s="17" t="n"/>
    </row>
    <row r="50">
      <c r="A50" s="17" t="n"/>
      <c r="B50" s="17" t="n"/>
      <c r="C50" s="17" t="n"/>
      <c r="D50" s="17" t="n"/>
      <c r="E50" s="17" t="n"/>
      <c r="F50" s="17" t="n"/>
      <c r="G50" s="17" t="n"/>
    </row>
    <row r="51">
      <c r="A51" s="17" t="n"/>
      <c r="B51" s="17" t="n"/>
      <c r="C51" s="17" t="n"/>
      <c r="D51" s="17" t="n"/>
      <c r="E51" s="17" t="n"/>
      <c r="F51" s="17" t="n"/>
      <c r="G51" s="17" t="n"/>
    </row>
    <row r="52">
      <c r="A52" s="17" t="n"/>
      <c r="B52" s="17" t="n"/>
      <c r="C52" s="17" t="n"/>
      <c r="D52" s="17" t="n"/>
      <c r="E52" s="17" t="n"/>
      <c r="F52" s="17" t="n"/>
      <c r="G52" s="17" t="n"/>
    </row>
    <row r="53">
      <c r="A53" s="17" t="n"/>
      <c r="B53" s="17" t="n"/>
      <c r="C53" s="17" t="n"/>
      <c r="D53" s="17" t="n"/>
      <c r="E53" s="17" t="n"/>
      <c r="F53" s="17" t="n"/>
      <c r="G53" s="17" t="n"/>
    </row>
    <row r="54">
      <c r="A54" s="17" t="n"/>
      <c r="B54" s="17" t="n"/>
      <c r="C54" s="17" t="n"/>
      <c r="D54" s="17" t="n"/>
      <c r="E54" s="17" t="n"/>
      <c r="F54" s="17" t="n"/>
      <c r="G54" s="17" t="n"/>
    </row>
    <row r="55">
      <c r="A55" s="17" t="n"/>
      <c r="B55" s="17" t="n"/>
      <c r="C55" s="17" t="n"/>
      <c r="D55" s="17" t="n"/>
      <c r="E55" s="17" t="n"/>
      <c r="F55" s="17" t="n"/>
      <c r="G55" s="17" t="n"/>
    </row>
    <row r="56">
      <c r="A56" s="17" t="n"/>
      <c r="B56" s="17" t="n"/>
      <c r="C56" s="17" t="n"/>
      <c r="D56" s="17" t="n"/>
      <c r="E56" s="17" t="n"/>
      <c r="F56" s="17" t="n"/>
      <c r="G56" s="17" t="n"/>
    </row>
    <row r="57">
      <c r="A57" s="17" t="n"/>
      <c r="B57" s="17" t="n"/>
      <c r="C57" s="17" t="n"/>
      <c r="D57" s="17" t="n"/>
      <c r="E57" s="17" t="n"/>
      <c r="F57" s="17" t="n"/>
      <c r="G57" s="17" t="n"/>
    </row>
    <row r="58">
      <c r="A58" s="17" t="n"/>
      <c r="B58" s="17" t="n"/>
      <c r="C58" s="17" t="n"/>
      <c r="D58" s="17" t="n"/>
      <c r="E58" s="17" t="n"/>
      <c r="F58" s="17" t="n"/>
      <c r="G58" s="17" t="n"/>
    </row>
    <row r="59">
      <c r="A59" s="17" t="n"/>
      <c r="B59" s="17" t="n"/>
      <c r="C59" s="17" t="n"/>
      <c r="D59" s="17" t="n"/>
      <c r="E59" s="17" t="n"/>
      <c r="F59" s="17" t="n"/>
      <c r="G59" s="17" t="n"/>
    </row>
    <row r="60">
      <c r="A60" s="17" t="n"/>
      <c r="B60" s="17" t="n"/>
      <c r="C60" s="17" t="n"/>
      <c r="D60" s="17" t="n"/>
      <c r="E60" s="17" t="n"/>
      <c r="F60" s="17" t="n"/>
      <c r="G60" s="17" t="n"/>
    </row>
    <row r="61">
      <c r="A61" s="17" t="n"/>
      <c r="B61" s="17" t="n"/>
      <c r="C61" s="17" t="n"/>
      <c r="D61" s="17" t="n"/>
      <c r="E61" s="17" t="n"/>
      <c r="F61" s="17" t="n"/>
      <c r="G61" s="17" t="n"/>
    </row>
    <row r="62">
      <c r="A62" s="17" t="n"/>
      <c r="B62" s="17" t="n"/>
      <c r="C62" s="17" t="n"/>
      <c r="D62" s="17" t="n"/>
      <c r="E62" s="17" t="n"/>
      <c r="F62" s="17" t="n"/>
      <c r="G62" s="17" t="n"/>
    </row>
    <row r="63">
      <c r="A63" s="17" t="n"/>
      <c r="B63" s="17" t="n"/>
      <c r="C63" s="17" t="n"/>
      <c r="D63" s="17" t="n"/>
      <c r="E63" s="17" t="n"/>
      <c r="F63" s="17" t="n"/>
      <c r="G63" s="17" t="n"/>
    </row>
    <row r="64">
      <c r="A64" s="17" t="n"/>
      <c r="B64" s="17" t="n"/>
      <c r="C64" s="17" t="n"/>
      <c r="D64" s="17" t="n"/>
      <c r="E64" s="17" t="n"/>
      <c r="F64" s="17" t="n"/>
      <c r="G64" s="17" t="n"/>
    </row>
    <row r="65">
      <c r="A65" s="17" t="n"/>
      <c r="B65" s="17" t="n"/>
      <c r="C65" s="17" t="n"/>
      <c r="D65" s="17" t="n"/>
      <c r="E65" s="17" t="n"/>
      <c r="F65" s="17" t="n"/>
      <c r="G65" s="17" t="n"/>
    </row>
    <row r="66">
      <c r="A66" s="17" t="n"/>
      <c r="B66" s="17" t="n"/>
      <c r="C66" s="17" t="n"/>
      <c r="D66" s="17" t="n"/>
      <c r="E66" s="17" t="n"/>
      <c r="F66" s="17" t="n"/>
      <c r="G66" s="17" t="n"/>
    </row>
    <row r="67">
      <c r="A67" s="17" t="n"/>
      <c r="B67" s="17" t="n"/>
      <c r="C67" s="17" t="n"/>
      <c r="D67" s="17" t="n"/>
      <c r="E67" s="17" t="n"/>
      <c r="F67" s="17" t="n"/>
      <c r="G67" s="17" t="n"/>
    </row>
    <row r="68">
      <c r="A68" s="17" t="n"/>
      <c r="B68" s="17" t="n"/>
      <c r="C68" s="17" t="n"/>
      <c r="D68" s="17" t="n"/>
      <c r="E68" s="17" t="n"/>
      <c r="F68" s="17" t="n"/>
      <c r="G68" s="17" t="n"/>
    </row>
    <row r="69">
      <c r="A69" s="17" t="n"/>
      <c r="B69" s="17" t="n"/>
      <c r="C69" s="17" t="n"/>
      <c r="D69" s="17" t="n"/>
      <c r="E69" s="17" t="n"/>
      <c r="F69" s="17" t="n"/>
      <c r="G69" s="17" t="n"/>
    </row>
    <row r="70">
      <c r="A70" s="17" t="n"/>
      <c r="B70" s="17" t="n"/>
      <c r="C70" s="17" t="n"/>
      <c r="D70" s="17" t="n"/>
      <c r="E70" s="17" t="n"/>
      <c r="F70" s="17" t="n"/>
      <c r="G70" s="17" t="n"/>
    </row>
    <row r="71">
      <c r="A71" s="17" t="n"/>
      <c r="B71" s="17" t="n"/>
      <c r="C71" s="17" t="n"/>
      <c r="D71" s="17" t="n"/>
      <c r="E71" s="17" t="n"/>
      <c r="F71" s="17" t="n"/>
      <c r="G71" s="17" t="n"/>
    </row>
    <row r="72">
      <c r="A72" s="17" t="n"/>
      <c r="B72" s="17" t="n"/>
      <c r="C72" s="17" t="n"/>
      <c r="D72" s="17" t="n"/>
      <c r="E72" s="17" t="n"/>
      <c r="F72" s="17" t="n"/>
      <c r="G72" s="17" t="n"/>
    </row>
    <row r="73">
      <c r="A73" s="17" t="n"/>
      <c r="B73" s="17" t="n"/>
      <c r="C73" s="17" t="n"/>
      <c r="D73" s="17" t="n"/>
      <c r="E73" s="17" t="n"/>
      <c r="F73" s="17" t="n"/>
      <c r="G73" s="17" t="n"/>
    </row>
    <row r="74">
      <c r="A74" s="17" t="n"/>
      <c r="B74" s="17" t="n"/>
      <c r="C74" s="17" t="n"/>
      <c r="D74" s="17" t="n"/>
      <c r="E74" s="17" t="n"/>
      <c r="F74" s="17" t="n"/>
      <c r="G74" s="17" t="n"/>
    </row>
    <row r="75">
      <c r="A75" s="17" t="n"/>
      <c r="B75" s="17" t="n"/>
      <c r="C75" s="17" t="n"/>
      <c r="D75" s="17" t="n"/>
      <c r="E75" s="17" t="n"/>
      <c r="F75" s="17" t="n"/>
      <c r="G75" s="17" t="n"/>
    </row>
    <row r="76">
      <c r="A76" s="17" t="n"/>
      <c r="B76" s="17" t="n"/>
      <c r="C76" s="17" t="n"/>
      <c r="D76" s="17" t="n"/>
      <c r="E76" s="17" t="n"/>
      <c r="F76" s="17" t="n"/>
      <c r="G76" s="17" t="n"/>
    </row>
    <row r="77">
      <c r="A77" s="17" t="n"/>
      <c r="B77" s="17" t="n"/>
      <c r="C77" s="17" t="n"/>
      <c r="D77" s="17" t="n"/>
      <c r="E77" s="17" t="n"/>
      <c r="F77" s="17" t="n"/>
      <c r="G77" s="17" t="n"/>
    </row>
    <row r="78">
      <c r="A78" s="17" t="n"/>
      <c r="B78" s="17" t="n"/>
      <c r="C78" s="17" t="n"/>
      <c r="D78" s="17" t="n"/>
      <c r="E78" s="17" t="n"/>
      <c r="F78" s="17" t="n"/>
      <c r="G78" s="17" t="n"/>
    </row>
    <row r="79">
      <c r="A79" s="17" t="n"/>
      <c r="B79" s="17" t="n"/>
      <c r="C79" s="17" t="n"/>
      <c r="D79" s="17" t="n"/>
      <c r="E79" s="17" t="n"/>
      <c r="F79" s="17" t="n"/>
      <c r="G79" s="17" t="n"/>
    </row>
    <row r="80">
      <c r="A80" s="17" t="n"/>
      <c r="B80" s="17" t="n"/>
      <c r="C80" s="17" t="n"/>
      <c r="D80" s="17" t="n"/>
      <c r="E80" s="17" t="n"/>
      <c r="F80" s="17" t="n"/>
      <c r="G80" s="17" t="n"/>
    </row>
    <row r="81">
      <c r="A81" s="17" t="n"/>
      <c r="B81" s="17" t="n"/>
      <c r="C81" s="17" t="n"/>
      <c r="D81" s="17" t="n"/>
      <c r="E81" s="17" t="n"/>
      <c r="F81" s="17" t="n"/>
      <c r="G81" s="17" t="n"/>
    </row>
    <row r="82">
      <c r="A82" s="17" t="n"/>
      <c r="B82" s="17" t="n"/>
      <c r="C82" s="17" t="n"/>
      <c r="D82" s="17" t="n"/>
      <c r="E82" s="17" t="n"/>
      <c r="F82" s="17" t="n"/>
      <c r="G82" s="17" t="n"/>
    </row>
    <row r="83">
      <c r="A83" s="17" t="n"/>
      <c r="B83" s="17" t="n"/>
      <c r="C83" s="17" t="n"/>
      <c r="D83" s="17" t="n"/>
      <c r="E83" s="17" t="n"/>
      <c r="F83" s="17" t="n"/>
      <c r="G83" s="17" t="n"/>
    </row>
    <row r="84">
      <c r="A84" s="17" t="n"/>
      <c r="B84" s="17" t="n"/>
      <c r="C84" s="17" t="n"/>
      <c r="D84" s="17" t="n"/>
      <c r="E84" s="17" t="n"/>
      <c r="F84" s="17" t="n"/>
      <c r="G84" s="17" t="n"/>
    </row>
    <row r="85">
      <c r="A85" s="17" t="n"/>
      <c r="B85" s="17" t="n"/>
      <c r="C85" s="17" t="n"/>
      <c r="D85" s="17" t="n"/>
      <c r="E85" s="17" t="n"/>
      <c r="F85" s="17" t="n"/>
      <c r="G85" s="17" t="n"/>
    </row>
    <row r="86">
      <c r="A86" s="17" t="n"/>
      <c r="B86" s="17" t="n"/>
      <c r="C86" s="17" t="n"/>
      <c r="D86" s="17" t="n"/>
      <c r="E86" s="17" t="n"/>
      <c r="F86" s="17" t="n"/>
      <c r="G86" s="17" t="n"/>
    </row>
    <row r="87">
      <c r="A87" s="17" t="n"/>
      <c r="B87" s="17" t="n"/>
      <c r="C87" s="17" t="n"/>
      <c r="D87" s="17" t="n"/>
      <c r="E87" s="17" t="n"/>
      <c r="F87" s="17" t="n"/>
      <c r="G87" s="17" t="n"/>
    </row>
    <row r="88">
      <c r="A88" s="17" t="n"/>
      <c r="B88" s="17" t="n"/>
      <c r="C88" s="17" t="n"/>
      <c r="D88" s="17" t="n"/>
      <c r="E88" s="17" t="n"/>
      <c r="F88" s="17" t="n"/>
      <c r="G88" s="17" t="n"/>
    </row>
    <row r="89">
      <c r="A89" s="17" t="n"/>
      <c r="B89" s="17" t="n"/>
      <c r="C89" s="17" t="n"/>
      <c r="D89" s="17" t="n"/>
      <c r="E89" s="17" t="n"/>
      <c r="F89" s="17" t="n"/>
      <c r="G89" s="17" t="n"/>
    </row>
    <row r="90">
      <c r="A90" s="17" t="n"/>
      <c r="B90" s="17" t="n"/>
      <c r="C90" s="17" t="n"/>
      <c r="D90" s="17" t="n"/>
      <c r="E90" s="17" t="n"/>
      <c r="F90" s="17" t="n"/>
      <c r="G90" s="17" t="n"/>
    </row>
    <row r="91">
      <c r="A91" s="17" t="n"/>
      <c r="B91" s="17" t="n"/>
      <c r="C91" s="17" t="n"/>
      <c r="D91" s="17" t="n"/>
      <c r="E91" s="17" t="n"/>
      <c r="F91" s="17" t="n"/>
      <c r="G91" s="17" t="n"/>
    </row>
    <row r="92">
      <c r="A92" s="17" t="n"/>
      <c r="B92" s="17" t="n"/>
      <c r="C92" s="17" t="n"/>
      <c r="D92" s="17" t="n"/>
      <c r="E92" s="17" t="n"/>
      <c r="F92" s="17" t="n"/>
      <c r="G92" s="17" t="n"/>
    </row>
    <row r="93">
      <c r="A93" s="17" t="n"/>
      <c r="B93" s="17" t="n"/>
      <c r="C93" s="17" t="n"/>
      <c r="D93" s="17" t="n"/>
      <c r="E93" s="17" t="n"/>
      <c r="F93" s="17" t="n"/>
      <c r="G93" s="17" t="n"/>
    </row>
    <row r="94">
      <c r="A94" s="17" t="n"/>
      <c r="B94" s="17" t="n"/>
      <c r="C94" s="17" t="n"/>
      <c r="D94" s="17" t="n"/>
      <c r="E94" s="17" t="n"/>
      <c r="F94" s="17" t="n"/>
      <c r="G94" s="17" t="n"/>
    </row>
    <row r="95">
      <c r="A95" s="17" t="n"/>
      <c r="B95" s="17" t="n"/>
      <c r="C95" s="17" t="n"/>
      <c r="D95" s="17" t="n"/>
      <c r="E95" s="17" t="n"/>
      <c r="F95" s="17" t="n"/>
      <c r="G95" s="17" t="n"/>
    </row>
    <row r="96">
      <c r="A96" s="17" t="n"/>
      <c r="B96" s="17" t="n"/>
      <c r="C96" s="17" t="n"/>
      <c r="D96" s="17" t="n"/>
      <c r="E96" s="17" t="n"/>
      <c r="F96" s="17" t="n"/>
      <c r="G96" s="17" t="n"/>
    </row>
    <row r="97">
      <c r="A97" s="17" t="n"/>
      <c r="B97" s="17" t="n"/>
      <c r="C97" s="17" t="n"/>
      <c r="D97" s="17" t="n"/>
      <c r="E97" s="17" t="n"/>
      <c r="F97" s="17" t="n"/>
      <c r="G97" s="17" t="n"/>
    </row>
    <row r="98">
      <c r="A98" s="17" t="n"/>
      <c r="B98" s="17" t="n"/>
      <c r="C98" s="17" t="n"/>
      <c r="D98" s="17" t="n"/>
      <c r="E98" s="17" t="n"/>
      <c r="F98" s="17" t="n"/>
      <c r="G98" s="17" t="n"/>
    </row>
    <row r="99">
      <c r="A99" s="17" t="n"/>
      <c r="B99" s="17" t="n"/>
      <c r="C99" s="17" t="n"/>
      <c r="D99" s="17" t="n"/>
      <c r="E99" s="17" t="n"/>
      <c r="F99" s="17" t="n"/>
      <c r="G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</row>
  </sheetData>
  <dataValidations count="3">
    <dataValidation sqref="B3:B203" showDropDown="0" showInputMessage="0" showErrorMessage="0" allowBlank="1" type="list">
      <formula1>=รายการ!$D$2:$D$3</formula1>
    </dataValidation>
    <dataValidation sqref="C3:C203" showDropDown="0" showInputMessage="0" showErrorMessage="0" allowBlank="1" type="list">
      <formula1>=รายการ!$G$2:$G$3</formula1>
    </dataValidation>
    <dataValidation sqref="F3:F203" showDropDown="0" showInputMessage="0" showErrorMessage="0" allowBlank="1" type="list">
      <formula1>=รายการ!$E$2:$E$4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2" customWidth="1" min="4" max="4"/>
    <col width="22" customWidth="1" min="5" max="5"/>
    <col width="40" customWidth="1" min="6" max="6"/>
  </cols>
  <sheetData>
    <row r="1">
      <c r="A1" s="15" t="inlineStr">
        <is>
          <t>ปิดชื่อ: ผู้อ่านเห็นแค่รายงาน A กับ B แล้วเลือกว่าอันไหนมีประโยชน์กว่า</t>
        </is>
      </c>
    </row>
    <row r="2" ht="34" customHeight="1">
      <c r="A2" s="16" t="inlineStr">
        <is>
          <t>คลิป</t>
        </is>
      </c>
      <c r="B2" s="16" t="inlineStr">
        <is>
          <t>ผู้อ่าน</t>
        </is>
      </c>
      <c r="C2" s="16" t="inlineStr">
        <is>
          <t>รายงาน A มาจาก (ผู้วิจัยกรอก ไม่ให้ผู้อ่านเห็น)</t>
        </is>
      </c>
      <c r="D2" s="16" t="inlineStr">
        <is>
          <t>ผู้อ่านเลือก</t>
        </is>
      </c>
      <c r="E2" s="16" t="inlineStr">
        <is>
          <t>โค้ชที่ถูกเลือก (อัตโนมัติ)</t>
        </is>
      </c>
      <c r="F2" s="16" t="inlineStr">
        <is>
          <t>เหตุผลที่เลือก</t>
        </is>
      </c>
    </row>
    <row r="3">
      <c r="A3" s="19" t="inlineStr">
        <is>
          <t>ตัวอย่าง</t>
        </is>
      </c>
      <c r="B3" s="19" t="inlineStr">
        <is>
          <t>เพื่อน 1</t>
        </is>
      </c>
      <c r="C3" s="19" t="inlineStr">
        <is>
          <t>ในเครื่อง</t>
        </is>
      </c>
      <c r="D3" s="19" t="inlineStr">
        <is>
          <t>B</t>
        </is>
      </c>
      <c r="E3" s="19">
        <f>IF(OR(C3="",D3=""),"",IF(D3="เท่ากัน","เท่ากัน",IF(D3="A",C3,IF(C3="Gemini","ในเครื่อง","Gemini"))))</f>
        <v/>
      </c>
      <c r="F3" s="19" t="inlineStr">
        <is>
          <t>อ่านง่ายกว่า บอกเวลาชัด</t>
        </is>
      </c>
    </row>
    <row r="4">
      <c r="A4" s="17" t="n"/>
      <c r="B4" s="17" t="n"/>
      <c r="C4" s="17" t="n"/>
      <c r="D4" s="17" t="n"/>
      <c r="E4" s="8">
        <f>IF(OR(C4="",D4=""),"",IF(D4="เท่ากัน","เท่ากัน",IF(D4="A",C4,IF(C4="Gemini","ในเครื่อง","Gemini"))))</f>
        <v/>
      </c>
      <c r="F4" s="17" t="n"/>
    </row>
    <row r="5">
      <c r="A5" s="17" t="n"/>
      <c r="B5" s="17" t="n"/>
      <c r="C5" s="17" t="n"/>
      <c r="D5" s="17" t="n"/>
      <c r="E5" s="8">
        <f>IF(OR(C5="",D5=""),"",IF(D5="เท่ากัน","เท่ากัน",IF(D5="A",C5,IF(C5="Gemini","ในเครื่อง","Gemini"))))</f>
        <v/>
      </c>
      <c r="F5" s="17" t="n"/>
    </row>
    <row r="6">
      <c r="A6" s="17" t="n"/>
      <c r="B6" s="17" t="n"/>
      <c r="C6" s="17" t="n"/>
      <c r="D6" s="17" t="n"/>
      <c r="E6" s="8">
        <f>IF(OR(C6="",D6=""),"",IF(D6="เท่ากัน","เท่ากัน",IF(D6="A",C6,IF(C6="Gemini","ในเครื่อง","Gemini"))))</f>
        <v/>
      </c>
      <c r="F6" s="17" t="n"/>
    </row>
    <row r="7">
      <c r="A7" s="17" t="n"/>
      <c r="B7" s="17" t="n"/>
      <c r="C7" s="17" t="n"/>
      <c r="D7" s="17" t="n"/>
      <c r="E7" s="8">
        <f>IF(OR(C7="",D7=""),"",IF(D7="เท่ากัน","เท่ากัน",IF(D7="A",C7,IF(C7="Gemini","ในเครื่อง","Gemini"))))</f>
        <v/>
      </c>
      <c r="F7" s="17" t="n"/>
    </row>
    <row r="8">
      <c r="A8" s="17" t="n"/>
      <c r="B8" s="17" t="n"/>
      <c r="C8" s="17" t="n"/>
      <c r="D8" s="17" t="n"/>
      <c r="E8" s="8">
        <f>IF(OR(C8="",D8=""),"",IF(D8="เท่ากัน","เท่ากัน",IF(D8="A",C8,IF(C8="Gemini","ในเครื่อง","Gemini"))))</f>
        <v/>
      </c>
      <c r="F8" s="17" t="n"/>
    </row>
    <row r="9">
      <c r="A9" s="17" t="n"/>
      <c r="B9" s="17" t="n"/>
      <c r="C9" s="17" t="n"/>
      <c r="D9" s="17" t="n"/>
      <c r="E9" s="8">
        <f>IF(OR(C9="",D9=""),"",IF(D9="เท่ากัน","เท่ากัน",IF(D9="A",C9,IF(C9="Gemini","ในเครื่อง","Gemini"))))</f>
        <v/>
      </c>
      <c r="F9" s="17" t="n"/>
    </row>
    <row r="10">
      <c r="A10" s="17" t="n"/>
      <c r="B10" s="17" t="n"/>
      <c r="C10" s="17" t="n"/>
      <c r="D10" s="17" t="n"/>
      <c r="E10" s="8">
        <f>IF(OR(C10="",D10=""),"",IF(D10="เท่ากัน","เท่ากัน",IF(D10="A",C10,IF(C10="Gemini","ในเครื่อง","Gemini"))))</f>
        <v/>
      </c>
      <c r="F10" s="17" t="n"/>
    </row>
    <row r="11">
      <c r="A11" s="17" t="n"/>
      <c r="B11" s="17" t="n"/>
      <c r="C11" s="17" t="n"/>
      <c r="D11" s="17" t="n"/>
      <c r="E11" s="8">
        <f>IF(OR(C11="",D11=""),"",IF(D11="เท่ากัน","เท่ากัน",IF(D11="A",C11,IF(C11="Gemini","ในเครื่อง","Gemini"))))</f>
        <v/>
      </c>
      <c r="F11" s="17" t="n"/>
    </row>
    <row r="12">
      <c r="A12" s="17" t="n"/>
      <c r="B12" s="17" t="n"/>
      <c r="C12" s="17" t="n"/>
      <c r="D12" s="17" t="n"/>
      <c r="E12" s="8">
        <f>IF(OR(C12="",D12=""),"",IF(D12="เท่ากัน","เท่ากัน",IF(D12="A",C12,IF(C12="Gemini","ในเครื่อง","Gemini"))))</f>
        <v/>
      </c>
      <c r="F12" s="17" t="n"/>
    </row>
    <row r="13">
      <c r="A13" s="17" t="n"/>
      <c r="B13" s="17" t="n"/>
      <c r="C13" s="17" t="n"/>
      <c r="D13" s="17" t="n"/>
      <c r="E13" s="8">
        <f>IF(OR(C13="",D13=""),"",IF(D13="เท่ากัน","เท่ากัน",IF(D13="A",C13,IF(C13="Gemini","ในเครื่อง","Gemini"))))</f>
        <v/>
      </c>
      <c r="F13" s="17" t="n"/>
    </row>
    <row r="14">
      <c r="A14" s="17" t="n"/>
      <c r="B14" s="17" t="n"/>
      <c r="C14" s="17" t="n"/>
      <c r="D14" s="17" t="n"/>
      <c r="E14" s="8">
        <f>IF(OR(C14="",D14=""),"",IF(D14="เท่ากัน","เท่ากัน",IF(D14="A",C14,IF(C14="Gemini","ในเครื่อง","Gemini"))))</f>
        <v/>
      </c>
      <c r="F14" s="17" t="n"/>
    </row>
    <row r="15">
      <c r="A15" s="17" t="n"/>
      <c r="B15" s="17" t="n"/>
      <c r="C15" s="17" t="n"/>
      <c r="D15" s="17" t="n"/>
      <c r="E15" s="8">
        <f>IF(OR(C15="",D15=""),"",IF(D15="เท่ากัน","เท่ากัน",IF(D15="A",C15,IF(C15="Gemini","ในเครื่อง","Gemini"))))</f>
        <v/>
      </c>
      <c r="F15" s="17" t="n"/>
    </row>
    <row r="16">
      <c r="A16" s="17" t="n"/>
      <c r="B16" s="17" t="n"/>
      <c r="C16" s="17" t="n"/>
      <c r="D16" s="17" t="n"/>
      <c r="E16" s="8">
        <f>IF(OR(C16="",D16=""),"",IF(D16="เท่ากัน","เท่ากัน",IF(D16="A",C16,IF(C16="Gemini","ในเครื่อง","Gemini"))))</f>
        <v/>
      </c>
      <c r="F16" s="17" t="n"/>
    </row>
    <row r="17">
      <c r="A17" s="17" t="n"/>
      <c r="B17" s="17" t="n"/>
      <c r="C17" s="17" t="n"/>
      <c r="D17" s="17" t="n"/>
      <c r="E17" s="8">
        <f>IF(OR(C17="",D17=""),"",IF(D17="เท่ากัน","เท่ากัน",IF(D17="A",C17,IF(C17="Gemini","ในเครื่อง","Gemini"))))</f>
        <v/>
      </c>
      <c r="F17" s="17" t="n"/>
    </row>
    <row r="18">
      <c r="A18" s="17" t="n"/>
      <c r="B18" s="17" t="n"/>
      <c r="C18" s="17" t="n"/>
      <c r="D18" s="17" t="n"/>
      <c r="E18" s="8">
        <f>IF(OR(C18="",D18=""),"",IF(D18="เท่ากัน","เท่ากัน",IF(D18="A",C18,IF(C18="Gemini","ในเครื่อง","Gemini"))))</f>
        <v/>
      </c>
      <c r="F18" s="17" t="n"/>
    </row>
    <row r="19">
      <c r="A19" s="17" t="n"/>
      <c r="B19" s="17" t="n"/>
      <c r="C19" s="17" t="n"/>
      <c r="D19" s="17" t="n"/>
      <c r="E19" s="8">
        <f>IF(OR(C19="",D19=""),"",IF(D19="เท่ากัน","เท่ากัน",IF(D19="A",C19,IF(C19="Gemini","ในเครื่อง","Gemini"))))</f>
        <v/>
      </c>
      <c r="F19" s="17" t="n"/>
    </row>
    <row r="20">
      <c r="A20" s="17" t="n"/>
      <c r="B20" s="17" t="n"/>
      <c r="C20" s="17" t="n"/>
      <c r="D20" s="17" t="n"/>
      <c r="E20" s="8">
        <f>IF(OR(C20="",D20=""),"",IF(D20="เท่ากัน","เท่ากัน",IF(D20="A",C20,IF(C20="Gemini","ในเครื่อง","Gemini"))))</f>
        <v/>
      </c>
      <c r="F20" s="17" t="n"/>
    </row>
    <row r="21">
      <c r="A21" s="17" t="n"/>
      <c r="B21" s="17" t="n"/>
      <c r="C21" s="17" t="n"/>
      <c r="D21" s="17" t="n"/>
      <c r="E21" s="8">
        <f>IF(OR(C21="",D21=""),"",IF(D21="เท่ากัน","เท่ากัน",IF(D21="A",C21,IF(C21="Gemini","ในเครื่อง","Gemini"))))</f>
        <v/>
      </c>
      <c r="F21" s="17" t="n"/>
    </row>
    <row r="22">
      <c r="A22" s="17" t="n"/>
      <c r="B22" s="17" t="n"/>
      <c r="C22" s="17" t="n"/>
      <c r="D22" s="17" t="n"/>
      <c r="E22" s="8">
        <f>IF(OR(C22="",D22=""),"",IF(D22="เท่ากัน","เท่ากัน",IF(D22="A",C22,IF(C22="Gemini","ในเครื่อง","Gemini"))))</f>
        <v/>
      </c>
      <c r="F22" s="17" t="n"/>
    </row>
    <row r="23">
      <c r="A23" s="17" t="n"/>
      <c r="B23" s="17" t="n"/>
      <c r="C23" s="17" t="n"/>
      <c r="D23" s="17" t="n"/>
      <c r="E23" s="8">
        <f>IF(OR(C23="",D23=""),"",IF(D23="เท่ากัน","เท่ากัน",IF(D23="A",C23,IF(C23="Gemini","ในเครื่อง","Gemini"))))</f>
        <v/>
      </c>
      <c r="F23" s="17" t="n"/>
    </row>
    <row r="24">
      <c r="A24" s="17" t="n"/>
      <c r="B24" s="17" t="n"/>
      <c r="C24" s="17" t="n"/>
      <c r="D24" s="17" t="n"/>
      <c r="E24" s="8">
        <f>IF(OR(C24="",D24=""),"",IF(D24="เท่ากัน","เท่ากัน",IF(D24="A",C24,IF(C24="Gemini","ในเครื่อง","Gemini"))))</f>
        <v/>
      </c>
      <c r="F24" s="17" t="n"/>
    </row>
    <row r="25">
      <c r="A25" s="17" t="n"/>
      <c r="B25" s="17" t="n"/>
      <c r="C25" s="17" t="n"/>
      <c r="D25" s="17" t="n"/>
      <c r="E25" s="8">
        <f>IF(OR(C25="",D25=""),"",IF(D25="เท่ากัน","เท่ากัน",IF(D25="A",C25,IF(C25="Gemini","ในเครื่อง","Gemini"))))</f>
        <v/>
      </c>
      <c r="F25" s="17" t="n"/>
    </row>
    <row r="26">
      <c r="A26" s="17" t="n"/>
      <c r="B26" s="17" t="n"/>
      <c r="C26" s="17" t="n"/>
      <c r="D26" s="17" t="n"/>
      <c r="E26" s="8">
        <f>IF(OR(C26="",D26=""),"",IF(D26="เท่ากัน","เท่ากัน",IF(D26="A",C26,IF(C26="Gemini","ในเครื่อง","Gemini"))))</f>
        <v/>
      </c>
      <c r="F26" s="17" t="n"/>
    </row>
    <row r="27">
      <c r="A27" s="17" t="n"/>
      <c r="B27" s="17" t="n"/>
      <c r="C27" s="17" t="n"/>
      <c r="D27" s="17" t="n"/>
      <c r="E27" s="8">
        <f>IF(OR(C27="",D27=""),"",IF(D27="เท่ากัน","เท่ากัน",IF(D27="A",C27,IF(C27="Gemini","ในเครื่อง","Gemini"))))</f>
        <v/>
      </c>
      <c r="F27" s="17" t="n"/>
    </row>
    <row r="28">
      <c r="A28" s="17" t="n"/>
      <c r="B28" s="17" t="n"/>
      <c r="C28" s="17" t="n"/>
      <c r="D28" s="17" t="n"/>
      <c r="E28" s="8">
        <f>IF(OR(C28="",D28=""),"",IF(D28="เท่ากัน","เท่ากัน",IF(D28="A",C28,IF(C28="Gemini","ในเครื่อง","Gemini"))))</f>
        <v/>
      </c>
      <c r="F28" s="17" t="n"/>
    </row>
    <row r="29">
      <c r="A29" s="17" t="n"/>
      <c r="B29" s="17" t="n"/>
      <c r="C29" s="17" t="n"/>
      <c r="D29" s="17" t="n"/>
      <c r="E29" s="8">
        <f>IF(OR(C29="",D29=""),"",IF(D29="เท่ากัน","เท่ากัน",IF(D29="A",C29,IF(C29="Gemini","ในเครื่อง","Gemini"))))</f>
        <v/>
      </c>
      <c r="F29" s="17" t="n"/>
    </row>
    <row r="30">
      <c r="A30" s="17" t="n"/>
      <c r="B30" s="17" t="n"/>
      <c r="C30" s="17" t="n"/>
      <c r="D30" s="17" t="n"/>
      <c r="E30" s="8">
        <f>IF(OR(C30="",D30=""),"",IF(D30="เท่ากัน","เท่ากัน",IF(D30="A",C30,IF(C30="Gemini","ในเครื่อง","Gemini"))))</f>
        <v/>
      </c>
      <c r="F30" s="17" t="n"/>
    </row>
    <row r="31">
      <c r="A31" s="17" t="n"/>
      <c r="B31" s="17" t="n"/>
      <c r="C31" s="17" t="n"/>
      <c r="D31" s="17" t="n"/>
      <c r="E31" s="8">
        <f>IF(OR(C31="",D31=""),"",IF(D31="เท่ากัน","เท่ากัน",IF(D31="A",C31,IF(C31="Gemini","ในเครื่อง","Gemini"))))</f>
        <v/>
      </c>
      <c r="F31" s="17" t="n"/>
    </row>
    <row r="32">
      <c r="A32" s="17" t="n"/>
      <c r="B32" s="17" t="n"/>
      <c r="C32" s="17" t="n"/>
      <c r="D32" s="17" t="n"/>
      <c r="E32" s="8">
        <f>IF(OR(C32="",D32=""),"",IF(D32="เท่ากัน","เท่ากัน",IF(D32="A",C32,IF(C32="Gemini","ในเครื่อง","Gemini"))))</f>
        <v/>
      </c>
      <c r="F32" s="17" t="n"/>
    </row>
    <row r="33">
      <c r="A33" s="17" t="n"/>
      <c r="B33" s="17" t="n"/>
      <c r="C33" s="17" t="n"/>
      <c r="D33" s="17" t="n"/>
      <c r="E33" s="8">
        <f>IF(OR(C33="",D33=""),"",IF(D33="เท่ากัน","เท่ากัน",IF(D33="A",C33,IF(C33="Gemini","ในเครื่อง","Gemini"))))</f>
        <v/>
      </c>
      <c r="F33" s="17" t="n"/>
    </row>
    <row r="34">
      <c r="A34" s="17" t="n"/>
      <c r="B34" s="17" t="n"/>
      <c r="C34" s="17" t="n"/>
      <c r="D34" s="17" t="n"/>
      <c r="E34" s="8">
        <f>IF(OR(C34="",D34=""),"",IF(D34="เท่ากัน","เท่ากัน",IF(D34="A",C34,IF(C34="Gemini","ในเครื่อง","Gemini"))))</f>
        <v/>
      </c>
      <c r="F34" s="17" t="n"/>
    </row>
    <row r="35">
      <c r="A35" s="17" t="n"/>
      <c r="B35" s="17" t="n"/>
      <c r="C35" s="17" t="n"/>
      <c r="D35" s="17" t="n"/>
      <c r="E35" s="8">
        <f>IF(OR(C35="",D35=""),"",IF(D35="เท่ากัน","เท่ากัน",IF(D35="A",C35,IF(C35="Gemini","ในเครื่อง","Gemini"))))</f>
        <v/>
      </c>
      <c r="F35" s="17" t="n"/>
    </row>
    <row r="36">
      <c r="A36" s="17" t="n"/>
      <c r="B36" s="17" t="n"/>
      <c r="C36" s="17" t="n"/>
      <c r="D36" s="17" t="n"/>
      <c r="E36" s="8">
        <f>IF(OR(C36="",D36=""),"",IF(D36="เท่ากัน","เท่ากัน",IF(D36="A",C36,IF(C36="Gemini","ในเครื่อง","Gemini"))))</f>
        <v/>
      </c>
      <c r="F36" s="17" t="n"/>
    </row>
    <row r="37">
      <c r="A37" s="17" t="n"/>
      <c r="B37" s="17" t="n"/>
      <c r="C37" s="17" t="n"/>
      <c r="D37" s="17" t="n"/>
      <c r="E37" s="8">
        <f>IF(OR(C37="",D37=""),"",IF(D37="เท่ากัน","เท่ากัน",IF(D37="A",C37,IF(C37="Gemini","ในเครื่อง","Gemini"))))</f>
        <v/>
      </c>
      <c r="F37" s="17" t="n"/>
    </row>
    <row r="38">
      <c r="A38" s="17" t="n"/>
      <c r="B38" s="17" t="n"/>
      <c r="C38" s="17" t="n"/>
      <c r="D38" s="17" t="n"/>
      <c r="E38" s="8">
        <f>IF(OR(C38="",D38=""),"",IF(D38="เท่ากัน","เท่ากัน",IF(D38="A",C38,IF(C38="Gemini","ในเครื่อง","Gemini"))))</f>
        <v/>
      </c>
      <c r="F38" s="17" t="n"/>
    </row>
    <row r="39">
      <c r="A39" s="17" t="n"/>
      <c r="B39" s="17" t="n"/>
      <c r="C39" s="17" t="n"/>
      <c r="D39" s="17" t="n"/>
      <c r="E39" s="8">
        <f>IF(OR(C39="",D39=""),"",IF(D39="เท่ากัน","เท่ากัน",IF(D39="A",C39,IF(C39="Gemini","ในเครื่อง","Gemini"))))</f>
        <v/>
      </c>
      <c r="F39" s="17" t="n"/>
    </row>
    <row r="40">
      <c r="A40" s="17" t="n"/>
      <c r="B40" s="17" t="n"/>
      <c r="C40" s="17" t="n"/>
      <c r="D40" s="17" t="n"/>
      <c r="E40" s="8">
        <f>IF(OR(C40="",D40=""),"",IF(D40="เท่ากัน","เท่ากัน",IF(D40="A",C40,IF(C40="Gemini","ในเครื่อง","Gemini"))))</f>
        <v/>
      </c>
      <c r="F40" s="17" t="n"/>
    </row>
    <row r="41">
      <c r="A41" s="17" t="n"/>
      <c r="B41" s="17" t="n"/>
      <c r="C41" s="17" t="n"/>
      <c r="D41" s="17" t="n"/>
      <c r="E41" s="8">
        <f>IF(OR(C41="",D41=""),"",IF(D41="เท่ากัน","เท่ากัน",IF(D41="A",C41,IF(C41="Gemini","ในเครื่อง","Gemini"))))</f>
        <v/>
      </c>
      <c r="F41" s="17" t="n"/>
    </row>
    <row r="42">
      <c r="A42" s="17" t="n"/>
      <c r="B42" s="17" t="n"/>
      <c r="C42" s="17" t="n"/>
      <c r="D42" s="17" t="n"/>
      <c r="E42" s="8">
        <f>IF(OR(C42="",D42=""),"",IF(D42="เท่ากัน","เท่ากัน",IF(D42="A",C42,IF(C42="Gemini","ในเครื่อง","Gemini"))))</f>
        <v/>
      </c>
      <c r="F42" s="17" t="n"/>
    </row>
    <row r="43">
      <c r="A43" s="17" t="n"/>
      <c r="B43" s="17" t="n"/>
      <c r="C43" s="17" t="n"/>
      <c r="D43" s="17" t="n"/>
      <c r="E43" s="8">
        <f>IF(OR(C43="",D43=""),"",IF(D43="เท่ากัน","เท่ากัน",IF(D43="A",C43,IF(C43="Gemini","ในเครื่อง","Gemini"))))</f>
        <v/>
      </c>
      <c r="F43" s="17" t="n"/>
    </row>
    <row r="44">
      <c r="A44" s="17" t="n"/>
      <c r="B44" s="17" t="n"/>
      <c r="C44" s="17" t="n"/>
      <c r="D44" s="17" t="n"/>
      <c r="E44" s="8">
        <f>IF(OR(C44="",D44=""),"",IF(D44="เท่ากัน","เท่ากัน",IF(D44="A",C44,IF(C44="Gemini","ในเครื่อง","Gemini"))))</f>
        <v/>
      </c>
      <c r="F44" s="17" t="n"/>
    </row>
    <row r="45">
      <c r="A45" s="17" t="n"/>
      <c r="B45" s="17" t="n"/>
      <c r="C45" s="17" t="n"/>
      <c r="D45" s="17" t="n"/>
      <c r="E45" s="8">
        <f>IF(OR(C45="",D45=""),"",IF(D45="เท่ากัน","เท่ากัน",IF(D45="A",C45,IF(C45="Gemini","ในเครื่อง","Gemini"))))</f>
        <v/>
      </c>
      <c r="F45" s="17" t="n"/>
    </row>
    <row r="46">
      <c r="A46" s="17" t="n"/>
      <c r="B46" s="17" t="n"/>
      <c r="C46" s="17" t="n"/>
      <c r="D46" s="17" t="n"/>
      <c r="E46" s="8">
        <f>IF(OR(C46="",D46=""),"",IF(D46="เท่ากัน","เท่ากัน",IF(D46="A",C46,IF(C46="Gemini","ในเครื่อง","Gemini"))))</f>
        <v/>
      </c>
      <c r="F46" s="17" t="n"/>
    </row>
    <row r="47">
      <c r="A47" s="17" t="n"/>
      <c r="B47" s="17" t="n"/>
      <c r="C47" s="17" t="n"/>
      <c r="D47" s="17" t="n"/>
      <c r="E47" s="8">
        <f>IF(OR(C47="",D47=""),"",IF(D47="เท่ากัน","เท่ากัน",IF(D47="A",C47,IF(C47="Gemini","ในเครื่อง","Gemini"))))</f>
        <v/>
      </c>
      <c r="F47" s="17" t="n"/>
    </row>
    <row r="48">
      <c r="A48" s="17" t="n"/>
      <c r="B48" s="17" t="n"/>
      <c r="C48" s="17" t="n"/>
      <c r="D48" s="17" t="n"/>
      <c r="E48" s="8">
        <f>IF(OR(C48="",D48=""),"",IF(D48="เท่ากัน","เท่ากัน",IF(D48="A",C48,IF(C48="Gemini","ในเครื่อง","Gemini"))))</f>
        <v/>
      </c>
      <c r="F48" s="17" t="n"/>
    </row>
    <row r="49">
      <c r="A49" s="17" t="n"/>
      <c r="B49" s="17" t="n"/>
      <c r="C49" s="17" t="n"/>
      <c r="D49" s="17" t="n"/>
      <c r="E49" s="8">
        <f>IF(OR(C49="",D49=""),"",IF(D49="เท่ากัน","เท่ากัน",IF(D49="A",C49,IF(C49="Gemini","ในเครื่อง","Gemini"))))</f>
        <v/>
      </c>
      <c r="F49" s="17" t="n"/>
    </row>
    <row r="50">
      <c r="A50" s="17" t="n"/>
      <c r="B50" s="17" t="n"/>
      <c r="C50" s="17" t="n"/>
      <c r="D50" s="17" t="n"/>
      <c r="E50" s="8">
        <f>IF(OR(C50="",D50=""),"",IF(D50="เท่ากัน","เท่ากัน",IF(D50="A",C50,IF(C50="Gemini","ในเครื่อง","Gemini"))))</f>
        <v/>
      </c>
      <c r="F50" s="17" t="n"/>
    </row>
    <row r="51">
      <c r="A51" s="17" t="n"/>
      <c r="B51" s="17" t="n"/>
      <c r="C51" s="17" t="n"/>
      <c r="D51" s="17" t="n"/>
      <c r="E51" s="8">
        <f>IF(OR(C51="",D51=""),"",IF(D51="เท่ากัน","เท่ากัน",IF(D51="A",C51,IF(C51="Gemini","ในเครื่อง","Gemini"))))</f>
        <v/>
      </c>
      <c r="F51" s="17" t="n"/>
    </row>
    <row r="52">
      <c r="A52" s="17" t="n"/>
      <c r="B52" s="17" t="n"/>
      <c r="C52" s="17" t="n"/>
      <c r="D52" s="17" t="n"/>
      <c r="E52" s="8">
        <f>IF(OR(C52="",D52=""),"",IF(D52="เท่ากัน","เท่ากัน",IF(D52="A",C52,IF(C52="Gemini","ในเครื่อง","Gemini"))))</f>
        <v/>
      </c>
      <c r="F52" s="17" t="n"/>
    </row>
    <row r="53">
      <c r="A53" s="17" t="n"/>
      <c r="B53" s="17" t="n"/>
      <c r="C53" s="17" t="n"/>
      <c r="D53" s="17" t="n"/>
      <c r="E53" s="8">
        <f>IF(OR(C53="",D53=""),"",IF(D53="เท่ากัน","เท่ากัน",IF(D53="A",C53,IF(C53="Gemini","ในเครื่อง","Gemini"))))</f>
        <v/>
      </c>
      <c r="F53" s="17" t="n"/>
    </row>
    <row r="54">
      <c r="A54" s="17" t="n"/>
      <c r="B54" s="17" t="n"/>
      <c r="C54" s="17" t="n"/>
      <c r="D54" s="17" t="n"/>
      <c r="E54" s="8">
        <f>IF(OR(C54="",D54=""),"",IF(D54="เท่ากัน","เท่ากัน",IF(D54="A",C54,IF(C54="Gemini","ในเครื่อง","Gemini"))))</f>
        <v/>
      </c>
      <c r="F54" s="17" t="n"/>
    </row>
    <row r="55">
      <c r="A55" s="17" t="n"/>
      <c r="B55" s="17" t="n"/>
      <c r="C55" s="17" t="n"/>
      <c r="D55" s="17" t="n"/>
      <c r="E55" s="8">
        <f>IF(OR(C55="",D55=""),"",IF(D55="เท่ากัน","เท่ากัน",IF(D55="A",C55,IF(C55="Gemini","ในเครื่อง","Gemini"))))</f>
        <v/>
      </c>
      <c r="F55" s="17" t="n"/>
    </row>
    <row r="56">
      <c r="A56" s="17" t="n"/>
      <c r="B56" s="17" t="n"/>
      <c r="C56" s="17" t="n"/>
      <c r="D56" s="17" t="n"/>
      <c r="E56" s="8">
        <f>IF(OR(C56="",D56=""),"",IF(D56="เท่ากัน","เท่ากัน",IF(D56="A",C56,IF(C56="Gemini","ในเครื่อง","Gemini"))))</f>
        <v/>
      </c>
      <c r="F56" s="17" t="n"/>
    </row>
    <row r="57">
      <c r="A57" s="17" t="n"/>
      <c r="B57" s="17" t="n"/>
      <c r="C57" s="17" t="n"/>
      <c r="D57" s="17" t="n"/>
      <c r="E57" s="8">
        <f>IF(OR(C57="",D57=""),"",IF(D57="เท่ากัน","เท่ากัน",IF(D57="A",C57,IF(C57="Gemini","ในเครื่อง","Gemini"))))</f>
        <v/>
      </c>
      <c r="F57" s="17" t="n"/>
    </row>
    <row r="58">
      <c r="A58" s="17" t="n"/>
      <c r="B58" s="17" t="n"/>
      <c r="C58" s="17" t="n"/>
      <c r="D58" s="17" t="n"/>
      <c r="E58" s="8">
        <f>IF(OR(C58="",D58=""),"",IF(D58="เท่ากัน","เท่ากัน",IF(D58="A",C58,IF(C58="Gemini","ในเครื่อง","Gemini"))))</f>
        <v/>
      </c>
      <c r="F58" s="17" t="n"/>
    </row>
    <row r="59">
      <c r="A59" s="17" t="n"/>
      <c r="B59" s="17" t="n"/>
      <c r="C59" s="17" t="n"/>
      <c r="D59" s="17" t="n"/>
      <c r="E59" s="8">
        <f>IF(OR(C59="",D59=""),"",IF(D59="เท่ากัน","เท่ากัน",IF(D59="A",C59,IF(C59="Gemini","ในเครื่อง","Gemini"))))</f>
        <v/>
      </c>
      <c r="F59" s="17" t="n"/>
    </row>
    <row r="60">
      <c r="A60" s="17" t="n"/>
      <c r="B60" s="17" t="n"/>
      <c r="C60" s="17" t="n"/>
      <c r="D60" s="17" t="n"/>
      <c r="E60" s="8">
        <f>IF(OR(C60="",D60=""),"",IF(D60="เท่ากัน","เท่ากัน",IF(D60="A",C60,IF(C60="Gemini","ในเครื่อง","Gemini"))))</f>
        <v/>
      </c>
      <c r="F60" s="17" t="n"/>
    </row>
    <row r="61">
      <c r="A61" s="17" t="n"/>
      <c r="B61" s="17" t="n"/>
      <c r="C61" s="17" t="n"/>
      <c r="D61" s="17" t="n"/>
      <c r="E61" s="8">
        <f>IF(OR(C61="",D61=""),"",IF(D61="เท่ากัน","เท่ากัน",IF(D61="A",C61,IF(C61="Gemini","ในเครื่อง","Gemini"))))</f>
        <v/>
      </c>
      <c r="F61" s="17" t="n"/>
    </row>
    <row r="62">
      <c r="A62" s="17" t="n"/>
      <c r="B62" s="17" t="n"/>
      <c r="C62" s="17" t="n"/>
      <c r="D62" s="17" t="n"/>
      <c r="E62" s="8">
        <f>IF(OR(C62="",D62=""),"",IF(D62="เท่ากัน","เท่ากัน",IF(D62="A",C62,IF(C62="Gemini","ในเครื่อง","Gemini"))))</f>
        <v/>
      </c>
      <c r="F62" s="17" t="n"/>
    </row>
    <row r="63">
      <c r="A63" s="17" t="n"/>
      <c r="B63" s="17" t="n"/>
      <c r="C63" s="17" t="n"/>
      <c r="D63" s="17" t="n"/>
      <c r="E63" s="8">
        <f>IF(OR(C63="",D63=""),"",IF(D63="เท่ากัน","เท่ากัน",IF(D63="A",C63,IF(C63="Gemini","ในเครื่อง","Gemini"))))</f>
        <v/>
      </c>
      <c r="F63" s="17" t="n"/>
    </row>
    <row r="64">
      <c r="A64" s="17" t="n"/>
      <c r="B64" s="17" t="n"/>
      <c r="C64" s="17" t="n"/>
      <c r="D64" s="17" t="n"/>
      <c r="E64" s="8">
        <f>IF(OR(C64="",D64=""),"",IF(D64="เท่ากัน","เท่ากัน",IF(D64="A",C64,IF(C64="Gemini","ในเครื่อง","Gemini"))))</f>
        <v/>
      </c>
      <c r="F64" s="17" t="n"/>
    </row>
    <row r="65">
      <c r="A65" s="17" t="n"/>
      <c r="B65" s="17" t="n"/>
      <c r="C65" s="17" t="n"/>
      <c r="D65" s="17" t="n"/>
      <c r="E65" s="8">
        <f>IF(OR(C65="",D65=""),"",IF(D65="เท่ากัน","เท่ากัน",IF(D65="A",C65,IF(C65="Gemini","ในเครื่อง","Gemini"))))</f>
        <v/>
      </c>
      <c r="F65" s="17" t="n"/>
    </row>
    <row r="66">
      <c r="A66" s="17" t="n"/>
      <c r="B66" s="17" t="n"/>
      <c r="C66" s="17" t="n"/>
      <c r="D66" s="17" t="n"/>
      <c r="E66" s="8">
        <f>IF(OR(C66="",D66=""),"",IF(D66="เท่ากัน","เท่ากัน",IF(D66="A",C66,IF(C66="Gemini","ในเครื่อง","Gemini"))))</f>
        <v/>
      </c>
      <c r="F66" s="17" t="n"/>
    </row>
    <row r="67">
      <c r="A67" s="17" t="n"/>
      <c r="B67" s="17" t="n"/>
      <c r="C67" s="17" t="n"/>
      <c r="D67" s="17" t="n"/>
      <c r="E67" s="8">
        <f>IF(OR(C67="",D67=""),"",IF(D67="เท่ากัน","เท่ากัน",IF(D67="A",C67,IF(C67="Gemini","ในเครื่อง","Gemini"))))</f>
        <v/>
      </c>
      <c r="F67" s="17" t="n"/>
    </row>
    <row r="68">
      <c r="A68" s="17" t="n"/>
      <c r="B68" s="17" t="n"/>
      <c r="C68" s="17" t="n"/>
      <c r="D68" s="17" t="n"/>
      <c r="E68" s="8">
        <f>IF(OR(C68="",D68=""),"",IF(D68="เท่ากัน","เท่ากัน",IF(D68="A",C68,IF(C68="Gemini","ในเครื่อง","Gemini"))))</f>
        <v/>
      </c>
      <c r="F68" s="17" t="n"/>
    </row>
    <row r="69">
      <c r="A69" s="17" t="n"/>
      <c r="B69" s="17" t="n"/>
      <c r="C69" s="17" t="n"/>
      <c r="D69" s="17" t="n"/>
      <c r="E69" s="8">
        <f>IF(OR(C69="",D69=""),"",IF(D69="เท่ากัน","เท่ากัน",IF(D69="A",C69,IF(C69="Gemini","ในเครื่อง","Gemini"))))</f>
        <v/>
      </c>
      <c r="F69" s="17" t="n"/>
    </row>
    <row r="70">
      <c r="A70" s="17" t="n"/>
      <c r="B70" s="17" t="n"/>
      <c r="C70" s="17" t="n"/>
      <c r="D70" s="17" t="n"/>
      <c r="E70" s="8">
        <f>IF(OR(C70="",D70=""),"",IF(D70="เท่ากัน","เท่ากัน",IF(D70="A",C70,IF(C70="Gemini","ในเครื่อง","Gemini"))))</f>
        <v/>
      </c>
      <c r="F70" s="17" t="n"/>
    </row>
    <row r="71">
      <c r="A71" s="17" t="n"/>
      <c r="B71" s="17" t="n"/>
      <c r="C71" s="17" t="n"/>
      <c r="D71" s="17" t="n"/>
      <c r="E71" s="8">
        <f>IF(OR(C71="",D71=""),"",IF(D71="เท่ากัน","เท่ากัน",IF(D71="A",C71,IF(C71="Gemini","ในเครื่อง","Gemini"))))</f>
        <v/>
      </c>
      <c r="F71" s="17" t="n"/>
    </row>
    <row r="72">
      <c r="A72" s="17" t="n"/>
      <c r="B72" s="17" t="n"/>
      <c r="C72" s="17" t="n"/>
      <c r="D72" s="17" t="n"/>
      <c r="E72" s="8">
        <f>IF(OR(C72="",D72=""),"",IF(D72="เท่ากัน","เท่ากัน",IF(D72="A",C72,IF(C72="Gemini","ในเครื่อง","Gemini"))))</f>
        <v/>
      </c>
      <c r="F72" s="17" t="n"/>
    </row>
    <row r="73">
      <c r="A73" s="17" t="n"/>
      <c r="B73" s="17" t="n"/>
      <c r="C73" s="17" t="n"/>
      <c r="D73" s="17" t="n"/>
      <c r="E73" s="8">
        <f>IF(OR(C73="",D73=""),"",IF(D73="เท่ากัน","เท่ากัน",IF(D73="A",C73,IF(C73="Gemini","ในเครื่อง","Gemini"))))</f>
        <v/>
      </c>
      <c r="F73" s="17" t="n"/>
    </row>
    <row r="74">
      <c r="A74" s="17" t="n"/>
      <c r="B74" s="17" t="n"/>
      <c r="C74" s="17" t="n"/>
      <c r="D74" s="17" t="n"/>
      <c r="E74" s="8">
        <f>IF(OR(C74="",D74=""),"",IF(D74="เท่ากัน","เท่ากัน",IF(D74="A",C74,IF(C74="Gemini","ในเครื่อง","Gemini"))))</f>
        <v/>
      </c>
      <c r="F74" s="17" t="n"/>
    </row>
    <row r="75">
      <c r="A75" s="17" t="n"/>
      <c r="B75" s="17" t="n"/>
      <c r="C75" s="17" t="n"/>
      <c r="D75" s="17" t="n"/>
      <c r="E75" s="8">
        <f>IF(OR(C75="",D75=""),"",IF(D75="เท่ากัน","เท่ากัน",IF(D75="A",C75,IF(C75="Gemini","ในเครื่อง","Gemini"))))</f>
        <v/>
      </c>
      <c r="F75" s="17" t="n"/>
    </row>
    <row r="76">
      <c r="A76" s="17" t="n"/>
      <c r="B76" s="17" t="n"/>
      <c r="C76" s="17" t="n"/>
      <c r="D76" s="17" t="n"/>
      <c r="E76" s="8">
        <f>IF(OR(C76="",D76=""),"",IF(D76="เท่ากัน","เท่ากัน",IF(D76="A",C76,IF(C76="Gemini","ในเครื่อง","Gemini"))))</f>
        <v/>
      </c>
      <c r="F76" s="17" t="n"/>
    </row>
    <row r="77">
      <c r="A77" s="17" t="n"/>
      <c r="B77" s="17" t="n"/>
      <c r="C77" s="17" t="n"/>
      <c r="D77" s="17" t="n"/>
      <c r="E77" s="8">
        <f>IF(OR(C77="",D77=""),"",IF(D77="เท่ากัน","เท่ากัน",IF(D77="A",C77,IF(C77="Gemini","ในเครื่อง","Gemini"))))</f>
        <v/>
      </c>
      <c r="F77" s="17" t="n"/>
    </row>
    <row r="78">
      <c r="A78" s="17" t="n"/>
      <c r="B78" s="17" t="n"/>
      <c r="C78" s="17" t="n"/>
      <c r="D78" s="17" t="n"/>
      <c r="E78" s="8">
        <f>IF(OR(C78="",D78=""),"",IF(D78="เท่ากัน","เท่ากัน",IF(D78="A",C78,IF(C78="Gemini","ในเครื่อง","Gemini"))))</f>
        <v/>
      </c>
      <c r="F78" s="17" t="n"/>
    </row>
    <row r="79">
      <c r="A79" s="17" t="n"/>
      <c r="B79" s="17" t="n"/>
      <c r="C79" s="17" t="n"/>
      <c r="D79" s="17" t="n"/>
      <c r="E79" s="8">
        <f>IF(OR(C79="",D79=""),"",IF(D79="เท่ากัน","เท่ากัน",IF(D79="A",C79,IF(C79="Gemini","ในเครื่อง","Gemini"))))</f>
        <v/>
      </c>
      <c r="F79" s="17" t="n"/>
    </row>
    <row r="80">
      <c r="A80" s="17" t="n"/>
      <c r="B80" s="17" t="n"/>
      <c r="C80" s="17" t="n"/>
      <c r="D80" s="17" t="n"/>
      <c r="E80" s="8">
        <f>IF(OR(C80="",D80=""),"",IF(D80="เท่ากัน","เท่ากัน",IF(D80="A",C80,IF(C80="Gemini","ในเครื่อง","Gemini"))))</f>
        <v/>
      </c>
      <c r="F80" s="17" t="n"/>
    </row>
    <row r="81">
      <c r="A81" s="17" t="n"/>
      <c r="B81" s="17" t="n"/>
      <c r="C81" s="17" t="n"/>
      <c r="D81" s="17" t="n"/>
      <c r="E81" s="8">
        <f>IF(OR(C81="",D81=""),"",IF(D81="เท่ากัน","เท่ากัน",IF(D81="A",C81,IF(C81="Gemini","ในเครื่อง","Gemini"))))</f>
        <v/>
      </c>
      <c r="F81" s="17" t="n"/>
    </row>
    <row r="82">
      <c r="A82" s="17" t="n"/>
      <c r="B82" s="17" t="n"/>
      <c r="C82" s="17" t="n"/>
      <c r="D82" s="17" t="n"/>
      <c r="E82" s="8">
        <f>IF(OR(C82="",D82=""),"",IF(D82="เท่ากัน","เท่ากัน",IF(D82="A",C82,IF(C82="Gemini","ในเครื่อง","Gemini"))))</f>
        <v/>
      </c>
      <c r="F82" s="17" t="n"/>
    </row>
    <row r="83">
      <c r="A83" s="17" t="n"/>
      <c r="B83" s="17" t="n"/>
      <c r="C83" s="17" t="n"/>
      <c r="D83" s="17" t="n"/>
      <c r="E83" s="8">
        <f>IF(OR(C83="",D83=""),"",IF(D83="เท่ากัน","เท่ากัน",IF(D83="A",C83,IF(C83="Gemini","ในเครื่อง","Gemini"))))</f>
        <v/>
      </c>
      <c r="F83" s="17" t="n"/>
    </row>
    <row r="84">
      <c r="A84" s="17" t="n"/>
      <c r="B84" s="17" t="n"/>
      <c r="C84" s="17" t="n"/>
      <c r="D84" s="17" t="n"/>
      <c r="E84" s="8">
        <f>IF(OR(C84="",D84=""),"",IF(D84="เท่ากัน","เท่ากัน",IF(D84="A",C84,IF(C84="Gemini","ในเครื่อง","Gemini"))))</f>
        <v/>
      </c>
      <c r="F84" s="17" t="n"/>
    </row>
    <row r="85">
      <c r="A85" s="17" t="n"/>
      <c r="B85" s="17" t="n"/>
      <c r="C85" s="17" t="n"/>
      <c r="D85" s="17" t="n"/>
      <c r="E85" s="8">
        <f>IF(OR(C85="",D85=""),"",IF(D85="เท่ากัน","เท่ากัน",IF(D85="A",C85,IF(C85="Gemini","ในเครื่อง","Gemini"))))</f>
        <v/>
      </c>
      <c r="F85" s="17" t="n"/>
    </row>
    <row r="86">
      <c r="A86" s="17" t="n"/>
      <c r="B86" s="17" t="n"/>
      <c r="C86" s="17" t="n"/>
      <c r="D86" s="17" t="n"/>
      <c r="E86" s="8">
        <f>IF(OR(C86="",D86=""),"",IF(D86="เท่ากัน","เท่ากัน",IF(D86="A",C86,IF(C86="Gemini","ในเครื่อง","Gemini"))))</f>
        <v/>
      </c>
      <c r="F86" s="17" t="n"/>
    </row>
    <row r="87">
      <c r="A87" s="17" t="n"/>
      <c r="B87" s="17" t="n"/>
      <c r="C87" s="17" t="n"/>
      <c r="D87" s="17" t="n"/>
      <c r="E87" s="8">
        <f>IF(OR(C87="",D87=""),"",IF(D87="เท่ากัน","เท่ากัน",IF(D87="A",C87,IF(C87="Gemini","ในเครื่อง","Gemini"))))</f>
        <v/>
      </c>
      <c r="F87" s="17" t="n"/>
    </row>
    <row r="88">
      <c r="A88" s="17" t="n"/>
      <c r="B88" s="17" t="n"/>
      <c r="C88" s="17" t="n"/>
      <c r="D88" s="17" t="n"/>
      <c r="E88" s="8">
        <f>IF(OR(C88="",D88=""),"",IF(D88="เท่ากัน","เท่ากัน",IF(D88="A",C88,IF(C88="Gemini","ในเครื่อง","Gemini"))))</f>
        <v/>
      </c>
      <c r="F88" s="17" t="n"/>
    </row>
    <row r="89">
      <c r="A89" s="17" t="n"/>
      <c r="B89" s="17" t="n"/>
      <c r="C89" s="17" t="n"/>
      <c r="D89" s="17" t="n"/>
      <c r="E89" s="8">
        <f>IF(OR(C89="",D89=""),"",IF(D89="เท่ากัน","เท่ากัน",IF(D89="A",C89,IF(C89="Gemini","ในเครื่อง","Gemini"))))</f>
        <v/>
      </c>
      <c r="F89" s="17" t="n"/>
    </row>
    <row r="90">
      <c r="A90" s="17" t="n"/>
      <c r="B90" s="17" t="n"/>
      <c r="C90" s="17" t="n"/>
      <c r="D90" s="17" t="n"/>
      <c r="E90" s="8">
        <f>IF(OR(C90="",D90=""),"",IF(D90="เท่ากัน","เท่ากัน",IF(D90="A",C90,IF(C90="Gemini","ในเครื่อง","Gemini"))))</f>
        <v/>
      </c>
      <c r="F90" s="17" t="n"/>
    </row>
    <row r="91">
      <c r="A91" s="17" t="n"/>
      <c r="B91" s="17" t="n"/>
      <c r="C91" s="17" t="n"/>
      <c r="D91" s="17" t="n"/>
      <c r="E91" s="8">
        <f>IF(OR(C91="",D91=""),"",IF(D91="เท่ากัน","เท่ากัน",IF(D91="A",C91,IF(C91="Gemini","ในเครื่อง","Gemini"))))</f>
        <v/>
      </c>
      <c r="F91" s="17" t="n"/>
    </row>
    <row r="92">
      <c r="A92" s="17" t="n"/>
      <c r="B92" s="17" t="n"/>
      <c r="C92" s="17" t="n"/>
      <c r="D92" s="17" t="n"/>
      <c r="E92" s="8">
        <f>IF(OR(C92="",D92=""),"",IF(D92="เท่ากัน","เท่ากัน",IF(D92="A",C92,IF(C92="Gemini","ในเครื่อง","Gemini"))))</f>
        <v/>
      </c>
      <c r="F92" s="17" t="n"/>
    </row>
    <row r="93">
      <c r="A93" s="17" t="n"/>
      <c r="B93" s="17" t="n"/>
      <c r="C93" s="17" t="n"/>
      <c r="D93" s="17" t="n"/>
      <c r="E93" s="8">
        <f>IF(OR(C93="",D93=""),"",IF(D93="เท่ากัน","เท่ากัน",IF(D93="A",C93,IF(C93="Gemini","ในเครื่อง","Gemini"))))</f>
        <v/>
      </c>
      <c r="F93" s="17" t="n"/>
    </row>
    <row r="94">
      <c r="A94" s="17" t="n"/>
      <c r="B94" s="17" t="n"/>
      <c r="C94" s="17" t="n"/>
      <c r="D94" s="17" t="n"/>
      <c r="E94" s="8">
        <f>IF(OR(C94="",D94=""),"",IF(D94="เท่ากัน","เท่ากัน",IF(D94="A",C94,IF(C94="Gemini","ในเครื่อง","Gemini"))))</f>
        <v/>
      </c>
      <c r="F94" s="17" t="n"/>
    </row>
    <row r="95">
      <c r="A95" s="17" t="n"/>
      <c r="B95" s="17" t="n"/>
      <c r="C95" s="17" t="n"/>
      <c r="D95" s="17" t="n"/>
      <c r="E95" s="8">
        <f>IF(OR(C95="",D95=""),"",IF(D95="เท่ากัน","เท่ากัน",IF(D95="A",C95,IF(C95="Gemini","ในเครื่อง","Gemini"))))</f>
        <v/>
      </c>
      <c r="F95" s="17" t="n"/>
    </row>
    <row r="96">
      <c r="A96" s="17" t="n"/>
      <c r="B96" s="17" t="n"/>
      <c r="C96" s="17" t="n"/>
      <c r="D96" s="17" t="n"/>
      <c r="E96" s="8">
        <f>IF(OR(C96="",D96=""),"",IF(D96="เท่ากัน","เท่ากัน",IF(D96="A",C96,IF(C96="Gemini","ในเครื่อง","Gemini"))))</f>
        <v/>
      </c>
      <c r="F96" s="17" t="n"/>
    </row>
    <row r="97">
      <c r="A97" s="17" t="n"/>
      <c r="B97" s="17" t="n"/>
      <c r="C97" s="17" t="n"/>
      <c r="D97" s="17" t="n"/>
      <c r="E97" s="8">
        <f>IF(OR(C97="",D97=""),"",IF(D97="เท่ากัน","เท่ากัน",IF(D97="A",C97,IF(C97="Gemini","ในเครื่อง","Gemini"))))</f>
        <v/>
      </c>
      <c r="F97" s="17" t="n"/>
    </row>
    <row r="98">
      <c r="A98" s="17" t="n"/>
      <c r="B98" s="17" t="n"/>
      <c r="C98" s="17" t="n"/>
      <c r="D98" s="17" t="n"/>
      <c r="E98" s="8">
        <f>IF(OR(C98="",D98=""),"",IF(D98="เท่ากัน","เท่ากัน",IF(D98="A",C98,IF(C98="Gemini","ในเครื่อง","Gemini"))))</f>
        <v/>
      </c>
      <c r="F98" s="17" t="n"/>
    </row>
    <row r="99">
      <c r="A99" s="17" t="n"/>
      <c r="B99" s="17" t="n"/>
      <c r="C99" s="17" t="n"/>
      <c r="D99" s="17" t="n"/>
      <c r="E99" s="8">
        <f>IF(OR(C99="",D99=""),"",IF(D99="เท่ากัน","เท่ากัน",IF(D99="A",C99,IF(C99="Gemini","ในเครื่อง","Gemini"))))</f>
        <v/>
      </c>
      <c r="F99" s="17" t="n"/>
    </row>
    <row r="100">
      <c r="A100" s="17" t="n"/>
      <c r="B100" s="17" t="n"/>
      <c r="C100" s="17" t="n"/>
      <c r="D100" s="17" t="n"/>
      <c r="E100" s="8">
        <f>IF(OR(C100="",D100=""),"",IF(D100="เท่ากัน","เท่ากัน",IF(D100="A",C100,IF(C100="Gemini","ในเครื่อง","Gemini"))))</f>
        <v/>
      </c>
      <c r="F100" s="17" t="n"/>
    </row>
    <row r="101">
      <c r="A101" s="17" t="n"/>
      <c r="B101" s="17" t="n"/>
      <c r="C101" s="17" t="n"/>
      <c r="D101" s="17" t="n"/>
      <c r="E101" s="8">
        <f>IF(OR(C101="",D101=""),"",IF(D101="เท่ากัน","เท่ากัน",IF(D101="A",C101,IF(C101="Gemini","ในเครื่อง","Gemini"))))</f>
        <v/>
      </c>
      <c r="F101" s="17" t="n"/>
    </row>
    <row r="102">
      <c r="A102" s="17" t="n"/>
      <c r="B102" s="17" t="n"/>
      <c r="C102" s="17" t="n"/>
      <c r="D102" s="17" t="n"/>
      <c r="E102" s="8">
        <f>IF(OR(C102="",D102=""),"",IF(D102="เท่ากัน","เท่ากัน",IF(D102="A",C102,IF(C102="Gemini","ในเครื่อง","Gemini"))))</f>
        <v/>
      </c>
      <c r="F102" s="17" t="n"/>
    </row>
    <row r="103">
      <c r="A103" s="17" t="n"/>
      <c r="B103" s="17" t="n"/>
      <c r="C103" s="17" t="n"/>
      <c r="D103" s="17" t="n"/>
      <c r="E103" s="8">
        <f>IF(OR(C103="",D103=""),"",IF(D103="เท่ากัน","เท่ากัน",IF(D103="A",C103,IF(C103="Gemini","ในเครื่อง","Gemini"))))</f>
        <v/>
      </c>
      <c r="F103" s="17" t="n"/>
    </row>
    <row r="104">
      <c r="A104" s="17" t="n"/>
      <c r="B104" s="17" t="n"/>
      <c r="C104" s="17" t="n"/>
      <c r="D104" s="17" t="n"/>
      <c r="E104" s="8">
        <f>IF(OR(C104="",D104=""),"",IF(D104="เท่ากัน","เท่ากัน",IF(D104="A",C104,IF(C104="Gemini","ในเครื่อง","Gemini"))))</f>
        <v/>
      </c>
      <c r="F104" s="17" t="n"/>
    </row>
    <row r="105">
      <c r="A105" s="17" t="n"/>
      <c r="B105" s="17" t="n"/>
      <c r="C105" s="17" t="n"/>
      <c r="D105" s="17" t="n"/>
      <c r="E105" s="8">
        <f>IF(OR(C105="",D105=""),"",IF(D105="เท่ากัน","เท่ากัน",IF(D105="A",C105,IF(C105="Gemini","ในเครื่อง","Gemini"))))</f>
        <v/>
      </c>
      <c r="F105" s="17" t="n"/>
    </row>
    <row r="106">
      <c r="A106" s="17" t="n"/>
      <c r="B106" s="17" t="n"/>
      <c r="C106" s="17" t="n"/>
      <c r="D106" s="17" t="n"/>
      <c r="E106" s="8">
        <f>IF(OR(C106="",D106=""),"",IF(D106="เท่ากัน","เท่ากัน",IF(D106="A",C106,IF(C106="Gemini","ในเครื่อง","Gemini"))))</f>
        <v/>
      </c>
      <c r="F106" s="17" t="n"/>
    </row>
    <row r="107">
      <c r="A107" s="17" t="n"/>
      <c r="B107" s="17" t="n"/>
      <c r="C107" s="17" t="n"/>
      <c r="D107" s="17" t="n"/>
      <c r="E107" s="8">
        <f>IF(OR(C107="",D107=""),"",IF(D107="เท่ากัน","เท่ากัน",IF(D107="A",C107,IF(C107="Gemini","ในเครื่อง","Gemini"))))</f>
        <v/>
      </c>
      <c r="F107" s="17" t="n"/>
    </row>
    <row r="108">
      <c r="A108" s="17" t="n"/>
      <c r="B108" s="17" t="n"/>
      <c r="C108" s="17" t="n"/>
      <c r="D108" s="17" t="n"/>
      <c r="E108" s="8">
        <f>IF(OR(C108="",D108=""),"",IF(D108="เท่ากัน","เท่ากัน",IF(D108="A",C108,IF(C108="Gemini","ในเครื่อง","Gemini"))))</f>
        <v/>
      </c>
      <c r="F108" s="17" t="n"/>
    </row>
    <row r="109">
      <c r="A109" s="17" t="n"/>
      <c r="B109" s="17" t="n"/>
      <c r="C109" s="17" t="n"/>
      <c r="D109" s="17" t="n"/>
      <c r="E109" s="8">
        <f>IF(OR(C109="",D109=""),"",IF(D109="เท่ากัน","เท่ากัน",IF(D109="A",C109,IF(C109="Gemini","ในเครื่อง","Gemini"))))</f>
        <v/>
      </c>
      <c r="F109" s="17" t="n"/>
    </row>
    <row r="110">
      <c r="A110" s="17" t="n"/>
      <c r="B110" s="17" t="n"/>
      <c r="C110" s="17" t="n"/>
      <c r="D110" s="17" t="n"/>
      <c r="E110" s="8">
        <f>IF(OR(C110="",D110=""),"",IF(D110="เท่ากัน","เท่ากัน",IF(D110="A",C110,IF(C110="Gemini","ในเครื่อง","Gemini"))))</f>
        <v/>
      </c>
      <c r="F110" s="17" t="n"/>
    </row>
    <row r="111">
      <c r="A111" s="17" t="n"/>
      <c r="B111" s="17" t="n"/>
      <c r="C111" s="17" t="n"/>
      <c r="D111" s="17" t="n"/>
      <c r="E111" s="8">
        <f>IF(OR(C111="",D111=""),"",IF(D111="เท่ากัน","เท่ากัน",IF(D111="A",C111,IF(C111="Gemini","ในเครื่อง","Gemini"))))</f>
        <v/>
      </c>
      <c r="F111" s="17" t="n"/>
    </row>
    <row r="112">
      <c r="A112" s="17" t="n"/>
      <c r="B112" s="17" t="n"/>
      <c r="C112" s="17" t="n"/>
      <c r="D112" s="17" t="n"/>
      <c r="E112" s="8">
        <f>IF(OR(C112="",D112=""),"",IF(D112="เท่ากัน","เท่ากัน",IF(D112="A",C112,IF(C112="Gemini","ในเครื่อง","Gemini"))))</f>
        <v/>
      </c>
      <c r="F112" s="17" t="n"/>
    </row>
    <row r="113">
      <c r="A113" s="17" t="n"/>
      <c r="B113" s="17" t="n"/>
      <c r="C113" s="17" t="n"/>
      <c r="D113" s="17" t="n"/>
      <c r="E113" s="8">
        <f>IF(OR(C113="",D113=""),"",IF(D113="เท่ากัน","เท่ากัน",IF(D113="A",C113,IF(C113="Gemini","ในเครื่อง","Gemini"))))</f>
        <v/>
      </c>
      <c r="F113" s="17" t="n"/>
    </row>
    <row r="114">
      <c r="A114" s="17" t="n"/>
      <c r="B114" s="17" t="n"/>
      <c r="C114" s="17" t="n"/>
      <c r="D114" s="17" t="n"/>
      <c r="E114" s="8">
        <f>IF(OR(C114="",D114=""),"",IF(D114="เท่ากัน","เท่ากัน",IF(D114="A",C114,IF(C114="Gemini","ในเครื่อง","Gemini"))))</f>
        <v/>
      </c>
      <c r="F114" s="17" t="n"/>
    </row>
    <row r="115">
      <c r="A115" s="17" t="n"/>
      <c r="B115" s="17" t="n"/>
      <c r="C115" s="17" t="n"/>
      <c r="D115" s="17" t="n"/>
      <c r="E115" s="8">
        <f>IF(OR(C115="",D115=""),"",IF(D115="เท่ากัน","เท่ากัน",IF(D115="A",C115,IF(C115="Gemini","ในเครื่อง","Gemini"))))</f>
        <v/>
      </c>
      <c r="F115" s="17" t="n"/>
    </row>
    <row r="116">
      <c r="A116" s="17" t="n"/>
      <c r="B116" s="17" t="n"/>
      <c r="C116" s="17" t="n"/>
      <c r="D116" s="17" t="n"/>
      <c r="E116" s="8">
        <f>IF(OR(C116="",D116=""),"",IF(D116="เท่ากัน","เท่ากัน",IF(D116="A",C116,IF(C116="Gemini","ในเครื่อง","Gemini"))))</f>
        <v/>
      </c>
      <c r="F116" s="17" t="n"/>
    </row>
    <row r="117">
      <c r="A117" s="17" t="n"/>
      <c r="B117" s="17" t="n"/>
      <c r="C117" s="17" t="n"/>
      <c r="D117" s="17" t="n"/>
      <c r="E117" s="8">
        <f>IF(OR(C117="",D117=""),"",IF(D117="เท่ากัน","เท่ากัน",IF(D117="A",C117,IF(C117="Gemini","ในเครื่อง","Gemini"))))</f>
        <v/>
      </c>
      <c r="F117" s="17" t="n"/>
    </row>
    <row r="118">
      <c r="A118" s="17" t="n"/>
      <c r="B118" s="17" t="n"/>
      <c r="C118" s="17" t="n"/>
      <c r="D118" s="17" t="n"/>
      <c r="E118" s="8">
        <f>IF(OR(C118="",D118=""),"",IF(D118="เท่ากัน","เท่ากัน",IF(D118="A",C118,IF(C118="Gemini","ในเครื่อง","Gemini"))))</f>
        <v/>
      </c>
      <c r="F118" s="17" t="n"/>
    </row>
    <row r="119">
      <c r="A119" s="17" t="n"/>
      <c r="B119" s="17" t="n"/>
      <c r="C119" s="17" t="n"/>
      <c r="D119" s="17" t="n"/>
      <c r="E119" s="8">
        <f>IF(OR(C119="",D119=""),"",IF(D119="เท่ากัน","เท่ากัน",IF(D119="A",C119,IF(C119="Gemini","ในเครื่อง","Gemini"))))</f>
        <v/>
      </c>
      <c r="F119" s="17" t="n"/>
    </row>
    <row r="120">
      <c r="A120" s="17" t="n"/>
      <c r="B120" s="17" t="n"/>
      <c r="C120" s="17" t="n"/>
      <c r="D120" s="17" t="n"/>
      <c r="E120" s="8">
        <f>IF(OR(C120="",D120=""),"",IF(D120="เท่ากัน","เท่ากัน",IF(D120="A",C120,IF(C120="Gemini","ในเครื่อง","Gemini"))))</f>
        <v/>
      </c>
      <c r="F120" s="17" t="n"/>
    </row>
    <row r="121">
      <c r="A121" s="17" t="n"/>
      <c r="B121" s="17" t="n"/>
      <c r="C121" s="17" t="n"/>
      <c r="D121" s="17" t="n"/>
      <c r="E121" s="8">
        <f>IF(OR(C121="",D121=""),"",IF(D121="เท่ากัน","เท่ากัน",IF(D121="A",C121,IF(C121="Gemini","ในเครื่อง","Gemini"))))</f>
        <v/>
      </c>
      <c r="F121" s="17" t="n"/>
    </row>
    <row r="122">
      <c r="A122" s="17" t="n"/>
      <c r="B122" s="17" t="n"/>
      <c r="C122" s="17" t="n"/>
      <c r="D122" s="17" t="n"/>
      <c r="E122" s="8">
        <f>IF(OR(C122="",D122=""),"",IF(D122="เท่ากัน","เท่ากัน",IF(D122="A",C122,IF(C122="Gemini","ในเครื่อง","Gemini"))))</f>
        <v/>
      </c>
      <c r="F122" s="17" t="n"/>
    </row>
    <row r="123">
      <c r="A123" s="17" t="n"/>
      <c r="B123" s="17" t="n"/>
      <c r="C123" s="17" t="n"/>
      <c r="D123" s="17" t="n"/>
      <c r="E123" s="8">
        <f>IF(OR(C123="",D123=""),"",IF(D123="เท่ากัน","เท่ากัน",IF(D123="A",C123,IF(C123="Gemini","ในเครื่อง","Gemini"))))</f>
        <v/>
      </c>
      <c r="F123" s="17" t="n"/>
    </row>
    <row r="124">
      <c r="A124" s="17" t="n"/>
      <c r="B124" s="17" t="n"/>
      <c r="C124" s="17" t="n"/>
      <c r="D124" s="17" t="n"/>
      <c r="E124" s="8">
        <f>IF(OR(C124="",D124=""),"",IF(D124="เท่ากัน","เท่ากัน",IF(D124="A",C124,IF(C124="Gemini","ในเครื่อง","Gemini"))))</f>
        <v/>
      </c>
      <c r="F124" s="17" t="n"/>
    </row>
    <row r="125">
      <c r="A125" s="17" t="n"/>
      <c r="B125" s="17" t="n"/>
      <c r="C125" s="17" t="n"/>
      <c r="D125" s="17" t="n"/>
      <c r="E125" s="8">
        <f>IF(OR(C125="",D125=""),"",IF(D125="เท่ากัน","เท่ากัน",IF(D125="A",C125,IF(C125="Gemini","ในเครื่อง","Gemini"))))</f>
        <v/>
      </c>
      <c r="F125" s="17" t="n"/>
    </row>
    <row r="126">
      <c r="A126" s="17" t="n"/>
      <c r="B126" s="17" t="n"/>
      <c r="C126" s="17" t="n"/>
      <c r="D126" s="17" t="n"/>
      <c r="E126" s="8">
        <f>IF(OR(C126="",D126=""),"",IF(D126="เท่ากัน","เท่ากัน",IF(D126="A",C126,IF(C126="Gemini","ในเครื่อง","Gemini"))))</f>
        <v/>
      </c>
      <c r="F126" s="17" t="n"/>
    </row>
    <row r="127">
      <c r="A127" s="17" t="n"/>
      <c r="B127" s="17" t="n"/>
      <c r="C127" s="17" t="n"/>
      <c r="D127" s="17" t="n"/>
      <c r="E127" s="8">
        <f>IF(OR(C127="",D127=""),"",IF(D127="เท่ากัน","เท่ากัน",IF(D127="A",C127,IF(C127="Gemini","ในเครื่อง","Gemini"))))</f>
        <v/>
      </c>
      <c r="F127" s="17" t="n"/>
    </row>
    <row r="128">
      <c r="A128" s="17" t="n"/>
      <c r="B128" s="17" t="n"/>
      <c r="C128" s="17" t="n"/>
      <c r="D128" s="17" t="n"/>
      <c r="E128" s="8">
        <f>IF(OR(C128="",D128=""),"",IF(D128="เท่ากัน","เท่ากัน",IF(D128="A",C128,IF(C128="Gemini","ในเครื่อง","Gemini"))))</f>
        <v/>
      </c>
      <c r="F128" s="17" t="n"/>
    </row>
    <row r="129">
      <c r="A129" s="17" t="n"/>
      <c r="B129" s="17" t="n"/>
      <c r="C129" s="17" t="n"/>
      <c r="D129" s="17" t="n"/>
      <c r="E129" s="8">
        <f>IF(OR(C129="",D129=""),"",IF(D129="เท่ากัน","เท่ากัน",IF(D129="A",C129,IF(C129="Gemini","ในเครื่อง","Gemini"))))</f>
        <v/>
      </c>
      <c r="F129" s="17" t="n"/>
    </row>
    <row r="130">
      <c r="A130" s="17" t="n"/>
      <c r="B130" s="17" t="n"/>
      <c r="C130" s="17" t="n"/>
      <c r="D130" s="17" t="n"/>
      <c r="E130" s="8">
        <f>IF(OR(C130="",D130=""),"",IF(D130="เท่ากัน","เท่ากัน",IF(D130="A",C130,IF(C130="Gemini","ในเครื่อง","Gemini"))))</f>
        <v/>
      </c>
      <c r="F130" s="17" t="n"/>
    </row>
    <row r="131">
      <c r="A131" s="17" t="n"/>
      <c r="B131" s="17" t="n"/>
      <c r="C131" s="17" t="n"/>
      <c r="D131" s="17" t="n"/>
      <c r="E131" s="8">
        <f>IF(OR(C131="",D131=""),"",IF(D131="เท่ากัน","เท่ากัน",IF(D131="A",C131,IF(C131="Gemini","ในเครื่อง","Gemini"))))</f>
        <v/>
      </c>
      <c r="F131" s="17" t="n"/>
    </row>
    <row r="132">
      <c r="A132" s="17" t="n"/>
      <c r="B132" s="17" t="n"/>
      <c r="C132" s="17" t="n"/>
      <c r="D132" s="17" t="n"/>
      <c r="E132" s="8">
        <f>IF(OR(C132="",D132=""),"",IF(D132="เท่ากัน","เท่ากัน",IF(D132="A",C132,IF(C132="Gemini","ในเครื่อง","Gemini"))))</f>
        <v/>
      </c>
      <c r="F132" s="17" t="n"/>
    </row>
    <row r="133">
      <c r="A133" s="17" t="n"/>
      <c r="B133" s="17" t="n"/>
      <c r="C133" s="17" t="n"/>
      <c r="D133" s="17" t="n"/>
      <c r="E133" s="8">
        <f>IF(OR(C133="",D133=""),"",IF(D133="เท่ากัน","เท่ากัน",IF(D133="A",C133,IF(C133="Gemini","ในเครื่อง","Gemini"))))</f>
        <v/>
      </c>
      <c r="F133" s="17" t="n"/>
    </row>
    <row r="134">
      <c r="A134" s="17" t="n"/>
      <c r="B134" s="17" t="n"/>
      <c r="C134" s="17" t="n"/>
      <c r="D134" s="17" t="n"/>
      <c r="E134" s="8">
        <f>IF(OR(C134="",D134=""),"",IF(D134="เท่ากัน","เท่ากัน",IF(D134="A",C134,IF(C134="Gemini","ในเครื่อง","Gemini"))))</f>
        <v/>
      </c>
      <c r="F134" s="17" t="n"/>
    </row>
    <row r="135">
      <c r="A135" s="17" t="n"/>
      <c r="B135" s="17" t="n"/>
      <c r="C135" s="17" t="n"/>
      <c r="D135" s="17" t="n"/>
      <c r="E135" s="8">
        <f>IF(OR(C135="",D135=""),"",IF(D135="เท่ากัน","เท่ากัน",IF(D135="A",C135,IF(C135="Gemini","ในเครื่อง","Gemini"))))</f>
        <v/>
      </c>
      <c r="F135" s="17" t="n"/>
    </row>
    <row r="136">
      <c r="A136" s="17" t="n"/>
      <c r="B136" s="17" t="n"/>
      <c r="C136" s="17" t="n"/>
      <c r="D136" s="17" t="n"/>
      <c r="E136" s="8">
        <f>IF(OR(C136="",D136=""),"",IF(D136="เท่ากัน","เท่ากัน",IF(D136="A",C136,IF(C136="Gemini","ในเครื่อง","Gemini"))))</f>
        <v/>
      </c>
      <c r="F136" s="17" t="n"/>
    </row>
    <row r="137">
      <c r="A137" s="17" t="n"/>
      <c r="B137" s="17" t="n"/>
      <c r="C137" s="17" t="n"/>
      <c r="D137" s="17" t="n"/>
      <c r="E137" s="8">
        <f>IF(OR(C137="",D137=""),"",IF(D137="เท่ากัน","เท่ากัน",IF(D137="A",C137,IF(C137="Gemini","ในเครื่อง","Gemini"))))</f>
        <v/>
      </c>
      <c r="F137" s="17" t="n"/>
    </row>
    <row r="138">
      <c r="A138" s="17" t="n"/>
      <c r="B138" s="17" t="n"/>
      <c r="C138" s="17" t="n"/>
      <c r="D138" s="17" t="n"/>
      <c r="E138" s="8">
        <f>IF(OR(C138="",D138=""),"",IF(D138="เท่ากัน","เท่ากัน",IF(D138="A",C138,IF(C138="Gemini","ในเครื่อง","Gemini"))))</f>
        <v/>
      </c>
      <c r="F138" s="17" t="n"/>
    </row>
    <row r="139">
      <c r="A139" s="17" t="n"/>
      <c r="B139" s="17" t="n"/>
      <c r="C139" s="17" t="n"/>
      <c r="D139" s="17" t="n"/>
      <c r="E139" s="8">
        <f>IF(OR(C139="",D139=""),"",IF(D139="เท่ากัน","เท่ากัน",IF(D139="A",C139,IF(C139="Gemini","ในเครื่อง","Gemini"))))</f>
        <v/>
      </c>
      <c r="F139" s="17" t="n"/>
    </row>
    <row r="140">
      <c r="A140" s="17" t="n"/>
      <c r="B140" s="17" t="n"/>
      <c r="C140" s="17" t="n"/>
      <c r="D140" s="17" t="n"/>
      <c r="E140" s="8">
        <f>IF(OR(C140="",D140=""),"",IF(D140="เท่ากัน","เท่ากัน",IF(D140="A",C140,IF(C140="Gemini","ในเครื่อง","Gemini"))))</f>
        <v/>
      </c>
      <c r="F140" s="17" t="n"/>
    </row>
    <row r="141">
      <c r="A141" s="17" t="n"/>
      <c r="B141" s="17" t="n"/>
      <c r="C141" s="17" t="n"/>
      <c r="D141" s="17" t="n"/>
      <c r="E141" s="8">
        <f>IF(OR(C141="",D141=""),"",IF(D141="เท่ากัน","เท่ากัน",IF(D141="A",C141,IF(C141="Gemini","ในเครื่อง","Gemini"))))</f>
        <v/>
      </c>
      <c r="F141" s="17" t="n"/>
    </row>
    <row r="142">
      <c r="A142" s="17" t="n"/>
      <c r="B142" s="17" t="n"/>
      <c r="C142" s="17" t="n"/>
      <c r="D142" s="17" t="n"/>
      <c r="E142" s="8">
        <f>IF(OR(C142="",D142=""),"",IF(D142="เท่ากัน","เท่ากัน",IF(D142="A",C142,IF(C142="Gemini","ในเครื่อง","Gemini"))))</f>
        <v/>
      </c>
      <c r="F142" s="17" t="n"/>
    </row>
    <row r="143">
      <c r="A143" s="17" t="n"/>
      <c r="B143" s="17" t="n"/>
      <c r="C143" s="17" t="n"/>
      <c r="D143" s="17" t="n"/>
      <c r="E143" s="8">
        <f>IF(OR(C143="",D143=""),"",IF(D143="เท่ากัน","เท่ากัน",IF(D143="A",C143,IF(C143="Gemini","ในเครื่อง","Gemini"))))</f>
        <v/>
      </c>
      <c r="F143" s="17" t="n"/>
    </row>
    <row r="144">
      <c r="A144" s="17" t="n"/>
      <c r="B144" s="17" t="n"/>
      <c r="C144" s="17" t="n"/>
      <c r="D144" s="17" t="n"/>
      <c r="E144" s="8">
        <f>IF(OR(C144="",D144=""),"",IF(D144="เท่ากัน","เท่ากัน",IF(D144="A",C144,IF(C144="Gemini","ในเครื่อง","Gemini"))))</f>
        <v/>
      </c>
      <c r="F144" s="17" t="n"/>
    </row>
    <row r="145">
      <c r="A145" s="17" t="n"/>
      <c r="B145" s="17" t="n"/>
      <c r="C145" s="17" t="n"/>
      <c r="D145" s="17" t="n"/>
      <c r="E145" s="8">
        <f>IF(OR(C145="",D145=""),"",IF(D145="เท่ากัน","เท่ากัน",IF(D145="A",C145,IF(C145="Gemini","ในเครื่อง","Gemini"))))</f>
        <v/>
      </c>
      <c r="F145" s="17" t="n"/>
    </row>
    <row r="146">
      <c r="A146" s="17" t="n"/>
      <c r="B146" s="17" t="n"/>
      <c r="C146" s="17" t="n"/>
      <c r="D146" s="17" t="n"/>
      <c r="E146" s="8">
        <f>IF(OR(C146="",D146=""),"",IF(D146="เท่ากัน","เท่ากัน",IF(D146="A",C146,IF(C146="Gemini","ในเครื่อง","Gemini"))))</f>
        <v/>
      </c>
      <c r="F146" s="17" t="n"/>
    </row>
    <row r="147">
      <c r="A147" s="17" t="n"/>
      <c r="B147" s="17" t="n"/>
      <c r="C147" s="17" t="n"/>
      <c r="D147" s="17" t="n"/>
      <c r="E147" s="8">
        <f>IF(OR(C147="",D147=""),"",IF(D147="เท่ากัน","เท่ากัน",IF(D147="A",C147,IF(C147="Gemini","ในเครื่อง","Gemini"))))</f>
        <v/>
      </c>
      <c r="F147" s="17" t="n"/>
    </row>
    <row r="148">
      <c r="A148" s="17" t="n"/>
      <c r="B148" s="17" t="n"/>
      <c r="C148" s="17" t="n"/>
      <c r="D148" s="17" t="n"/>
      <c r="E148" s="8">
        <f>IF(OR(C148="",D148=""),"",IF(D148="เท่ากัน","เท่ากัน",IF(D148="A",C148,IF(C148="Gemini","ในเครื่อง","Gemini"))))</f>
        <v/>
      </c>
      <c r="F148" s="17" t="n"/>
    </row>
    <row r="149">
      <c r="A149" s="17" t="n"/>
      <c r="B149" s="17" t="n"/>
      <c r="C149" s="17" t="n"/>
      <c r="D149" s="17" t="n"/>
      <c r="E149" s="8">
        <f>IF(OR(C149="",D149=""),"",IF(D149="เท่ากัน","เท่ากัน",IF(D149="A",C149,IF(C149="Gemini","ในเครื่อง","Gemini"))))</f>
        <v/>
      </c>
      <c r="F149" s="17" t="n"/>
    </row>
    <row r="150">
      <c r="A150" s="17" t="n"/>
      <c r="B150" s="17" t="n"/>
      <c r="C150" s="17" t="n"/>
      <c r="D150" s="17" t="n"/>
      <c r="E150" s="8">
        <f>IF(OR(C150="",D150=""),"",IF(D150="เท่ากัน","เท่ากัน",IF(D150="A",C150,IF(C150="Gemini","ในเครื่อง","Gemini"))))</f>
        <v/>
      </c>
      <c r="F150" s="17" t="n"/>
    </row>
    <row r="151">
      <c r="A151" s="17" t="n"/>
      <c r="B151" s="17" t="n"/>
      <c r="C151" s="17" t="n"/>
      <c r="D151" s="17" t="n"/>
      <c r="E151" s="8">
        <f>IF(OR(C151="",D151=""),"",IF(D151="เท่ากัน","เท่ากัน",IF(D151="A",C151,IF(C151="Gemini","ในเครื่อง","Gemini"))))</f>
        <v/>
      </c>
      <c r="F151" s="17" t="n"/>
    </row>
    <row r="152">
      <c r="A152" s="17" t="n"/>
      <c r="B152" s="17" t="n"/>
      <c r="C152" s="17" t="n"/>
      <c r="D152" s="17" t="n"/>
      <c r="E152" s="8">
        <f>IF(OR(C152="",D152=""),"",IF(D152="เท่ากัน","เท่ากัน",IF(D152="A",C152,IF(C152="Gemini","ในเครื่อง","Gemini"))))</f>
        <v/>
      </c>
      <c r="F152" s="17" t="n"/>
    </row>
    <row r="153">
      <c r="A153" s="17" t="n"/>
      <c r="B153" s="17" t="n"/>
      <c r="C153" s="17" t="n"/>
      <c r="D153" s="17" t="n"/>
      <c r="E153" s="8">
        <f>IF(OR(C153="",D153=""),"",IF(D153="เท่ากัน","เท่ากัน",IF(D153="A",C153,IF(C153="Gemini","ในเครื่อง","Gemini"))))</f>
        <v/>
      </c>
      <c r="F153" s="17" t="n"/>
    </row>
    <row r="154">
      <c r="A154" s="17" t="n"/>
      <c r="B154" s="17" t="n"/>
      <c r="C154" s="17" t="n"/>
      <c r="D154" s="17" t="n"/>
      <c r="E154" s="8">
        <f>IF(OR(C154="",D154=""),"",IF(D154="เท่ากัน","เท่ากัน",IF(D154="A",C154,IF(C154="Gemini","ในเครื่อง","Gemini"))))</f>
        <v/>
      </c>
      <c r="F154" s="17" t="n"/>
    </row>
    <row r="155">
      <c r="A155" s="17" t="n"/>
      <c r="B155" s="17" t="n"/>
      <c r="C155" s="17" t="n"/>
      <c r="D155" s="17" t="n"/>
      <c r="E155" s="8">
        <f>IF(OR(C155="",D155=""),"",IF(D155="เท่ากัน","เท่ากัน",IF(D155="A",C155,IF(C155="Gemini","ในเครื่อง","Gemini"))))</f>
        <v/>
      </c>
      <c r="F155" s="17" t="n"/>
    </row>
    <row r="156">
      <c r="A156" s="17" t="n"/>
      <c r="B156" s="17" t="n"/>
      <c r="C156" s="17" t="n"/>
      <c r="D156" s="17" t="n"/>
      <c r="E156" s="8">
        <f>IF(OR(C156="",D156=""),"",IF(D156="เท่ากัน","เท่ากัน",IF(D156="A",C156,IF(C156="Gemini","ในเครื่อง","Gemini"))))</f>
        <v/>
      </c>
      <c r="F156" s="17" t="n"/>
    </row>
    <row r="157">
      <c r="A157" s="17" t="n"/>
      <c r="B157" s="17" t="n"/>
      <c r="C157" s="17" t="n"/>
      <c r="D157" s="17" t="n"/>
      <c r="E157" s="8">
        <f>IF(OR(C157="",D157=""),"",IF(D157="เท่ากัน","เท่ากัน",IF(D157="A",C157,IF(C157="Gemini","ในเครื่อง","Gemini"))))</f>
        <v/>
      </c>
      <c r="F157" s="17" t="n"/>
    </row>
    <row r="158">
      <c r="A158" s="17" t="n"/>
      <c r="B158" s="17" t="n"/>
      <c r="C158" s="17" t="n"/>
      <c r="D158" s="17" t="n"/>
      <c r="E158" s="8">
        <f>IF(OR(C158="",D158=""),"",IF(D158="เท่ากัน","เท่ากัน",IF(D158="A",C158,IF(C158="Gemini","ในเครื่อง","Gemini"))))</f>
        <v/>
      </c>
      <c r="F158" s="17" t="n"/>
    </row>
    <row r="159">
      <c r="A159" s="17" t="n"/>
      <c r="B159" s="17" t="n"/>
      <c r="C159" s="17" t="n"/>
      <c r="D159" s="17" t="n"/>
      <c r="E159" s="8">
        <f>IF(OR(C159="",D159=""),"",IF(D159="เท่ากัน","เท่ากัน",IF(D159="A",C159,IF(C159="Gemini","ในเครื่อง","Gemini"))))</f>
        <v/>
      </c>
      <c r="F159" s="17" t="n"/>
    </row>
    <row r="160">
      <c r="A160" s="17" t="n"/>
      <c r="B160" s="17" t="n"/>
      <c r="C160" s="17" t="n"/>
      <c r="D160" s="17" t="n"/>
      <c r="E160" s="8">
        <f>IF(OR(C160="",D160=""),"",IF(D160="เท่ากัน","เท่ากัน",IF(D160="A",C160,IF(C160="Gemini","ในเครื่อง","Gemini"))))</f>
        <v/>
      </c>
      <c r="F160" s="17" t="n"/>
    </row>
    <row r="161">
      <c r="A161" s="17" t="n"/>
      <c r="B161" s="17" t="n"/>
      <c r="C161" s="17" t="n"/>
      <c r="D161" s="17" t="n"/>
      <c r="E161" s="8">
        <f>IF(OR(C161="",D161=""),"",IF(D161="เท่ากัน","เท่ากัน",IF(D161="A",C161,IF(C161="Gemini","ในเครื่อง","Gemini"))))</f>
        <v/>
      </c>
      <c r="F161" s="17" t="n"/>
    </row>
    <row r="162">
      <c r="A162" s="17" t="n"/>
      <c r="B162" s="17" t="n"/>
      <c r="C162" s="17" t="n"/>
      <c r="D162" s="17" t="n"/>
      <c r="E162" s="8">
        <f>IF(OR(C162="",D162=""),"",IF(D162="เท่ากัน","เท่ากัน",IF(D162="A",C162,IF(C162="Gemini","ในเครื่อง","Gemini"))))</f>
        <v/>
      </c>
      <c r="F162" s="17" t="n"/>
    </row>
    <row r="163">
      <c r="A163" s="17" t="n"/>
      <c r="B163" s="17" t="n"/>
      <c r="C163" s="17" t="n"/>
      <c r="D163" s="17" t="n"/>
      <c r="E163" s="8">
        <f>IF(OR(C163="",D163=""),"",IF(D163="เท่ากัน","เท่ากัน",IF(D163="A",C163,IF(C163="Gemini","ในเครื่อง","Gemini"))))</f>
        <v/>
      </c>
      <c r="F163" s="17" t="n"/>
    </row>
    <row r="164">
      <c r="A164" s="17" t="n"/>
      <c r="B164" s="17" t="n"/>
      <c r="C164" s="17" t="n"/>
      <c r="D164" s="17" t="n"/>
      <c r="E164" s="8">
        <f>IF(OR(C164="",D164=""),"",IF(D164="เท่ากัน","เท่ากัน",IF(D164="A",C164,IF(C164="Gemini","ในเครื่อง","Gemini"))))</f>
        <v/>
      </c>
      <c r="F164" s="17" t="n"/>
    </row>
    <row r="165">
      <c r="A165" s="17" t="n"/>
      <c r="B165" s="17" t="n"/>
      <c r="C165" s="17" t="n"/>
      <c r="D165" s="17" t="n"/>
      <c r="E165" s="8">
        <f>IF(OR(C165="",D165=""),"",IF(D165="เท่ากัน","เท่ากัน",IF(D165="A",C165,IF(C165="Gemini","ในเครื่อง","Gemini"))))</f>
        <v/>
      </c>
      <c r="F165" s="17" t="n"/>
    </row>
    <row r="166">
      <c r="A166" s="17" t="n"/>
      <c r="B166" s="17" t="n"/>
      <c r="C166" s="17" t="n"/>
      <c r="D166" s="17" t="n"/>
      <c r="E166" s="8">
        <f>IF(OR(C166="",D166=""),"",IF(D166="เท่ากัน","เท่ากัน",IF(D166="A",C166,IF(C166="Gemini","ในเครื่อง","Gemini"))))</f>
        <v/>
      </c>
      <c r="F166" s="17" t="n"/>
    </row>
    <row r="167">
      <c r="A167" s="17" t="n"/>
      <c r="B167" s="17" t="n"/>
      <c r="C167" s="17" t="n"/>
      <c r="D167" s="17" t="n"/>
      <c r="E167" s="8">
        <f>IF(OR(C167="",D167=""),"",IF(D167="เท่ากัน","เท่ากัน",IF(D167="A",C167,IF(C167="Gemini","ในเครื่อง","Gemini"))))</f>
        <v/>
      </c>
      <c r="F167" s="17" t="n"/>
    </row>
    <row r="168">
      <c r="A168" s="17" t="n"/>
      <c r="B168" s="17" t="n"/>
      <c r="C168" s="17" t="n"/>
      <c r="D168" s="17" t="n"/>
      <c r="E168" s="8">
        <f>IF(OR(C168="",D168=""),"",IF(D168="เท่ากัน","เท่ากัน",IF(D168="A",C168,IF(C168="Gemini","ในเครื่อง","Gemini"))))</f>
        <v/>
      </c>
      <c r="F168" s="17" t="n"/>
    </row>
    <row r="169">
      <c r="A169" s="17" t="n"/>
      <c r="B169" s="17" t="n"/>
      <c r="C169" s="17" t="n"/>
      <c r="D169" s="17" t="n"/>
      <c r="E169" s="8">
        <f>IF(OR(C169="",D169=""),"",IF(D169="เท่ากัน","เท่ากัน",IF(D169="A",C169,IF(C169="Gemini","ในเครื่อง","Gemini"))))</f>
        <v/>
      </c>
      <c r="F169" s="17" t="n"/>
    </row>
    <row r="170">
      <c r="A170" s="17" t="n"/>
      <c r="B170" s="17" t="n"/>
      <c r="C170" s="17" t="n"/>
      <c r="D170" s="17" t="n"/>
      <c r="E170" s="8">
        <f>IF(OR(C170="",D170=""),"",IF(D170="เท่ากัน","เท่ากัน",IF(D170="A",C170,IF(C170="Gemini","ในเครื่อง","Gemini"))))</f>
        <v/>
      </c>
      <c r="F170" s="17" t="n"/>
    </row>
    <row r="171">
      <c r="A171" s="17" t="n"/>
      <c r="B171" s="17" t="n"/>
      <c r="C171" s="17" t="n"/>
      <c r="D171" s="17" t="n"/>
      <c r="E171" s="8">
        <f>IF(OR(C171="",D171=""),"",IF(D171="เท่ากัน","เท่ากัน",IF(D171="A",C171,IF(C171="Gemini","ในเครื่อง","Gemini"))))</f>
        <v/>
      </c>
      <c r="F171" s="17" t="n"/>
    </row>
    <row r="172">
      <c r="A172" s="17" t="n"/>
      <c r="B172" s="17" t="n"/>
      <c r="C172" s="17" t="n"/>
      <c r="D172" s="17" t="n"/>
      <c r="E172" s="8">
        <f>IF(OR(C172="",D172=""),"",IF(D172="เท่ากัน","เท่ากัน",IF(D172="A",C172,IF(C172="Gemini","ในเครื่อง","Gemini"))))</f>
        <v/>
      </c>
      <c r="F172" s="17" t="n"/>
    </row>
    <row r="173">
      <c r="A173" s="17" t="n"/>
      <c r="B173" s="17" t="n"/>
      <c r="C173" s="17" t="n"/>
      <c r="D173" s="17" t="n"/>
      <c r="E173" s="8">
        <f>IF(OR(C173="",D173=""),"",IF(D173="เท่ากัน","เท่ากัน",IF(D173="A",C173,IF(C173="Gemini","ในเครื่อง","Gemini"))))</f>
        <v/>
      </c>
      <c r="F173" s="17" t="n"/>
    </row>
    <row r="174">
      <c r="A174" s="17" t="n"/>
      <c r="B174" s="17" t="n"/>
      <c r="C174" s="17" t="n"/>
      <c r="D174" s="17" t="n"/>
      <c r="E174" s="8">
        <f>IF(OR(C174="",D174=""),"",IF(D174="เท่ากัน","เท่ากัน",IF(D174="A",C174,IF(C174="Gemini","ในเครื่อง","Gemini"))))</f>
        <v/>
      </c>
      <c r="F174" s="17" t="n"/>
    </row>
    <row r="175">
      <c r="A175" s="17" t="n"/>
      <c r="B175" s="17" t="n"/>
      <c r="C175" s="17" t="n"/>
      <c r="D175" s="17" t="n"/>
      <c r="E175" s="8">
        <f>IF(OR(C175="",D175=""),"",IF(D175="เท่ากัน","เท่ากัน",IF(D175="A",C175,IF(C175="Gemini","ในเครื่อง","Gemini"))))</f>
        <v/>
      </c>
      <c r="F175" s="17" t="n"/>
    </row>
    <row r="176">
      <c r="A176" s="17" t="n"/>
      <c r="B176" s="17" t="n"/>
      <c r="C176" s="17" t="n"/>
      <c r="D176" s="17" t="n"/>
      <c r="E176" s="8">
        <f>IF(OR(C176="",D176=""),"",IF(D176="เท่ากัน","เท่ากัน",IF(D176="A",C176,IF(C176="Gemini","ในเครื่อง","Gemini"))))</f>
        <v/>
      </c>
      <c r="F176" s="17" t="n"/>
    </row>
    <row r="177">
      <c r="A177" s="17" t="n"/>
      <c r="B177" s="17" t="n"/>
      <c r="C177" s="17" t="n"/>
      <c r="D177" s="17" t="n"/>
      <c r="E177" s="8">
        <f>IF(OR(C177="",D177=""),"",IF(D177="เท่ากัน","เท่ากัน",IF(D177="A",C177,IF(C177="Gemini","ในเครื่อง","Gemini"))))</f>
        <v/>
      </c>
      <c r="F177" s="17" t="n"/>
    </row>
    <row r="178">
      <c r="A178" s="17" t="n"/>
      <c r="B178" s="17" t="n"/>
      <c r="C178" s="17" t="n"/>
      <c r="D178" s="17" t="n"/>
      <c r="E178" s="8">
        <f>IF(OR(C178="",D178=""),"",IF(D178="เท่ากัน","เท่ากัน",IF(D178="A",C178,IF(C178="Gemini","ในเครื่อง","Gemini"))))</f>
        <v/>
      </c>
      <c r="F178" s="17" t="n"/>
    </row>
    <row r="179">
      <c r="A179" s="17" t="n"/>
      <c r="B179" s="17" t="n"/>
      <c r="C179" s="17" t="n"/>
      <c r="D179" s="17" t="n"/>
      <c r="E179" s="8">
        <f>IF(OR(C179="",D179=""),"",IF(D179="เท่ากัน","เท่ากัน",IF(D179="A",C179,IF(C179="Gemini","ในเครื่อง","Gemini"))))</f>
        <v/>
      </c>
      <c r="F179" s="17" t="n"/>
    </row>
    <row r="180">
      <c r="A180" s="17" t="n"/>
      <c r="B180" s="17" t="n"/>
      <c r="C180" s="17" t="n"/>
      <c r="D180" s="17" t="n"/>
      <c r="E180" s="8">
        <f>IF(OR(C180="",D180=""),"",IF(D180="เท่ากัน","เท่ากัน",IF(D180="A",C180,IF(C180="Gemini","ในเครื่อง","Gemini"))))</f>
        <v/>
      </c>
      <c r="F180" s="17" t="n"/>
    </row>
    <row r="181">
      <c r="A181" s="17" t="n"/>
      <c r="B181" s="17" t="n"/>
      <c r="C181" s="17" t="n"/>
      <c r="D181" s="17" t="n"/>
      <c r="E181" s="8">
        <f>IF(OR(C181="",D181=""),"",IF(D181="เท่ากัน","เท่ากัน",IF(D181="A",C181,IF(C181="Gemini","ในเครื่อง","Gemini"))))</f>
        <v/>
      </c>
      <c r="F181" s="17" t="n"/>
    </row>
    <row r="182">
      <c r="A182" s="17" t="n"/>
      <c r="B182" s="17" t="n"/>
      <c r="C182" s="17" t="n"/>
      <c r="D182" s="17" t="n"/>
      <c r="E182" s="8">
        <f>IF(OR(C182="",D182=""),"",IF(D182="เท่ากัน","เท่ากัน",IF(D182="A",C182,IF(C182="Gemini","ในเครื่อง","Gemini"))))</f>
        <v/>
      </c>
      <c r="F182" s="17" t="n"/>
    </row>
    <row r="183">
      <c r="A183" s="17" t="n"/>
      <c r="B183" s="17" t="n"/>
      <c r="C183" s="17" t="n"/>
      <c r="D183" s="17" t="n"/>
      <c r="E183" s="8">
        <f>IF(OR(C183="",D183=""),"",IF(D183="เท่ากัน","เท่ากัน",IF(D183="A",C183,IF(C183="Gemini","ในเครื่อง","Gemini"))))</f>
        <v/>
      </c>
      <c r="F183" s="17" t="n"/>
    </row>
    <row r="184">
      <c r="A184" s="17" t="n"/>
      <c r="B184" s="17" t="n"/>
      <c r="C184" s="17" t="n"/>
      <c r="D184" s="17" t="n"/>
      <c r="E184" s="8">
        <f>IF(OR(C184="",D184=""),"",IF(D184="เท่ากัน","เท่ากัน",IF(D184="A",C184,IF(C184="Gemini","ในเครื่อง","Gemini"))))</f>
        <v/>
      </c>
      <c r="F184" s="17" t="n"/>
    </row>
    <row r="185">
      <c r="A185" s="17" t="n"/>
      <c r="B185" s="17" t="n"/>
      <c r="C185" s="17" t="n"/>
      <c r="D185" s="17" t="n"/>
      <c r="E185" s="8">
        <f>IF(OR(C185="",D185=""),"",IF(D185="เท่ากัน","เท่ากัน",IF(D185="A",C185,IF(C185="Gemini","ในเครื่อง","Gemini"))))</f>
        <v/>
      </c>
      <c r="F185" s="17" t="n"/>
    </row>
    <row r="186">
      <c r="A186" s="17" t="n"/>
      <c r="B186" s="17" t="n"/>
      <c r="C186" s="17" t="n"/>
      <c r="D186" s="17" t="n"/>
      <c r="E186" s="8">
        <f>IF(OR(C186="",D186=""),"",IF(D186="เท่ากัน","เท่ากัน",IF(D186="A",C186,IF(C186="Gemini","ในเครื่อง","Gemini"))))</f>
        <v/>
      </c>
      <c r="F186" s="17" t="n"/>
    </row>
    <row r="187">
      <c r="A187" s="17" t="n"/>
      <c r="B187" s="17" t="n"/>
      <c r="C187" s="17" t="n"/>
      <c r="D187" s="17" t="n"/>
      <c r="E187" s="8">
        <f>IF(OR(C187="",D187=""),"",IF(D187="เท่ากัน","เท่ากัน",IF(D187="A",C187,IF(C187="Gemini","ในเครื่อง","Gemini"))))</f>
        <v/>
      </c>
      <c r="F187" s="17" t="n"/>
    </row>
    <row r="188">
      <c r="A188" s="17" t="n"/>
      <c r="B188" s="17" t="n"/>
      <c r="C188" s="17" t="n"/>
      <c r="D188" s="17" t="n"/>
      <c r="E188" s="8">
        <f>IF(OR(C188="",D188=""),"",IF(D188="เท่ากัน","เท่ากัน",IF(D188="A",C188,IF(C188="Gemini","ในเครื่อง","Gemini"))))</f>
        <v/>
      </c>
      <c r="F188" s="17" t="n"/>
    </row>
    <row r="189">
      <c r="A189" s="17" t="n"/>
      <c r="B189" s="17" t="n"/>
      <c r="C189" s="17" t="n"/>
      <c r="D189" s="17" t="n"/>
      <c r="E189" s="8">
        <f>IF(OR(C189="",D189=""),"",IF(D189="เท่ากัน","เท่ากัน",IF(D189="A",C189,IF(C189="Gemini","ในเครื่อง","Gemini"))))</f>
        <v/>
      </c>
      <c r="F189" s="17" t="n"/>
    </row>
    <row r="190">
      <c r="A190" s="17" t="n"/>
      <c r="B190" s="17" t="n"/>
      <c r="C190" s="17" t="n"/>
      <c r="D190" s="17" t="n"/>
      <c r="E190" s="8">
        <f>IF(OR(C190="",D190=""),"",IF(D190="เท่ากัน","เท่ากัน",IF(D190="A",C190,IF(C190="Gemini","ในเครื่อง","Gemini"))))</f>
        <v/>
      </c>
      <c r="F190" s="17" t="n"/>
    </row>
    <row r="191">
      <c r="A191" s="17" t="n"/>
      <c r="B191" s="17" t="n"/>
      <c r="C191" s="17" t="n"/>
      <c r="D191" s="17" t="n"/>
      <c r="E191" s="8">
        <f>IF(OR(C191="",D191=""),"",IF(D191="เท่ากัน","เท่ากัน",IF(D191="A",C191,IF(C191="Gemini","ในเครื่อง","Gemini"))))</f>
        <v/>
      </c>
      <c r="F191" s="17" t="n"/>
    </row>
    <row r="192">
      <c r="A192" s="17" t="n"/>
      <c r="B192" s="17" t="n"/>
      <c r="C192" s="17" t="n"/>
      <c r="D192" s="17" t="n"/>
      <c r="E192" s="8">
        <f>IF(OR(C192="",D192=""),"",IF(D192="เท่ากัน","เท่ากัน",IF(D192="A",C192,IF(C192="Gemini","ในเครื่อง","Gemini"))))</f>
        <v/>
      </c>
      <c r="F192" s="17" t="n"/>
    </row>
    <row r="193">
      <c r="A193" s="17" t="n"/>
      <c r="B193" s="17" t="n"/>
      <c r="C193" s="17" t="n"/>
      <c r="D193" s="17" t="n"/>
      <c r="E193" s="8">
        <f>IF(OR(C193="",D193=""),"",IF(D193="เท่ากัน","เท่ากัน",IF(D193="A",C193,IF(C193="Gemini","ในเครื่อง","Gemini"))))</f>
        <v/>
      </c>
      <c r="F193" s="17" t="n"/>
    </row>
    <row r="194">
      <c r="A194" s="17" t="n"/>
      <c r="B194" s="17" t="n"/>
      <c r="C194" s="17" t="n"/>
      <c r="D194" s="17" t="n"/>
      <c r="E194" s="8">
        <f>IF(OR(C194="",D194=""),"",IF(D194="เท่ากัน","เท่ากัน",IF(D194="A",C194,IF(C194="Gemini","ในเครื่อง","Gemini"))))</f>
        <v/>
      </c>
      <c r="F194" s="17" t="n"/>
    </row>
    <row r="195">
      <c r="A195" s="17" t="n"/>
      <c r="B195" s="17" t="n"/>
      <c r="C195" s="17" t="n"/>
      <c r="D195" s="17" t="n"/>
      <c r="E195" s="8">
        <f>IF(OR(C195="",D195=""),"",IF(D195="เท่ากัน","เท่ากัน",IF(D195="A",C195,IF(C195="Gemini","ในเครื่อง","Gemini"))))</f>
        <v/>
      </c>
      <c r="F195" s="17" t="n"/>
    </row>
    <row r="196">
      <c r="A196" s="17" t="n"/>
      <c r="B196" s="17" t="n"/>
      <c r="C196" s="17" t="n"/>
      <c r="D196" s="17" t="n"/>
      <c r="E196" s="8">
        <f>IF(OR(C196="",D196=""),"",IF(D196="เท่ากัน","เท่ากัน",IF(D196="A",C196,IF(C196="Gemini","ในเครื่อง","Gemini"))))</f>
        <v/>
      </c>
      <c r="F196" s="17" t="n"/>
    </row>
    <row r="197">
      <c r="A197" s="17" t="n"/>
      <c r="B197" s="17" t="n"/>
      <c r="C197" s="17" t="n"/>
      <c r="D197" s="17" t="n"/>
      <c r="E197" s="8">
        <f>IF(OR(C197="",D197=""),"",IF(D197="เท่ากัน","เท่ากัน",IF(D197="A",C197,IF(C197="Gemini","ในเครื่อง","Gemini"))))</f>
        <v/>
      </c>
      <c r="F197" s="17" t="n"/>
    </row>
    <row r="198">
      <c r="A198" s="17" t="n"/>
      <c r="B198" s="17" t="n"/>
      <c r="C198" s="17" t="n"/>
      <c r="D198" s="17" t="n"/>
      <c r="E198" s="8">
        <f>IF(OR(C198="",D198=""),"",IF(D198="เท่ากัน","เท่ากัน",IF(D198="A",C198,IF(C198="Gemini","ในเครื่อง","Gemini"))))</f>
        <v/>
      </c>
      <c r="F198" s="17" t="n"/>
    </row>
    <row r="199">
      <c r="A199" s="17" t="n"/>
      <c r="B199" s="17" t="n"/>
      <c r="C199" s="17" t="n"/>
      <c r="D199" s="17" t="n"/>
      <c r="E199" s="8">
        <f>IF(OR(C199="",D199=""),"",IF(D199="เท่ากัน","เท่ากัน",IF(D199="A",C199,IF(C199="Gemini","ในเครื่อง","Gemini"))))</f>
        <v/>
      </c>
      <c r="F199" s="17" t="n"/>
    </row>
    <row r="200">
      <c r="A200" s="17" t="n"/>
      <c r="B200" s="17" t="n"/>
      <c r="C200" s="17" t="n"/>
      <c r="D200" s="17" t="n"/>
      <c r="E200" s="8">
        <f>IF(OR(C200="",D200=""),"",IF(D200="เท่ากัน","เท่ากัน",IF(D200="A",C200,IF(C200="Gemini","ในเครื่อง","Gemini"))))</f>
        <v/>
      </c>
      <c r="F200" s="17" t="n"/>
    </row>
    <row r="201">
      <c r="A201" s="17" t="n"/>
      <c r="B201" s="17" t="n"/>
      <c r="C201" s="17" t="n"/>
      <c r="D201" s="17" t="n"/>
      <c r="E201" s="8">
        <f>IF(OR(C201="",D201=""),"",IF(D201="เท่ากัน","เท่ากัน",IF(D201="A",C201,IF(C201="Gemini","ในเครื่อง","Gemini"))))</f>
        <v/>
      </c>
      <c r="F201" s="17" t="n"/>
    </row>
    <row r="202">
      <c r="A202" s="17" t="n"/>
      <c r="B202" s="17" t="n"/>
      <c r="C202" s="17" t="n"/>
      <c r="D202" s="17" t="n"/>
      <c r="E202" s="8">
        <f>IF(OR(C202="",D202=""),"",IF(D202="เท่ากัน","เท่ากัน",IF(D202="A",C202,IF(C202="Gemini","ในเครื่อง","Gemini"))))</f>
        <v/>
      </c>
      <c r="F202" s="17" t="n"/>
    </row>
    <row r="203">
      <c r="A203" s="17" t="n"/>
      <c r="B203" s="17" t="n"/>
      <c r="C203" s="17" t="n"/>
      <c r="D203" s="17" t="n"/>
      <c r="E203" s="8">
        <f>IF(OR(C203="",D203=""),"",IF(D203="เท่ากัน","เท่ากัน",IF(D203="A",C203,IF(C203="Gemini","ในเครื่อง","Gemini"))))</f>
        <v/>
      </c>
      <c r="F203" s="17" t="n"/>
    </row>
  </sheetData>
  <dataValidations count="2">
    <dataValidation sqref="C3:C203" showDropDown="0" showInputMessage="0" showErrorMessage="0" allowBlank="1" type="list">
      <formula1>=รายการ!$D$2:$D$3</formula1>
    </dataValidation>
    <dataValidation sqref="D3:D203" showDropDown="0" showInputMessage="0" showErrorMessage="0" allowBlank="1" type="list">
      <formula1>=รายการ!$F$2:$F$4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2026-10-12T14:02:44Z</dcterms:created>
  <dcterms:modified xmlns:dcterms="http://purl.org/dc/terms/" xmlns:xsi="http://www.w3.org/2001/XMLSchema-instance" xsi:type="dcterms:W3CDTF">2026-10-12T14:02:44Z</dcterms:modified>
</cp:coreProperties>
</file>